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-g9\Desktop\"/>
    </mc:Choice>
  </mc:AlternateContent>
  <xr:revisionPtr revIDLastSave="0" documentId="13_ncr:1_{42340519-5A79-442C-9659-1EB49A2C53B5}" xr6:coauthVersionLast="47" xr6:coauthVersionMax="47" xr10:uidLastSave="{00000000-0000-0000-0000-000000000000}"/>
  <bookViews>
    <workbookView xWindow="156" yWindow="24" windowWidth="11760" windowHeight="12156" firstSheet="1" activeTab="1" xr2:uid="{00000000-000D-0000-FFFF-FFFF00000000}"/>
  </bookViews>
  <sheets>
    <sheet name="README" sheetId="1" r:id="rId1"/>
    <sheet name="foods" sheetId="2" r:id="rId2"/>
    <sheet name="sources" sheetId="3" r:id="rId3"/>
    <sheet name="food_sources" sheetId="4" r:id="rId4"/>
    <sheet name="side_menu_catalog" sheetId="5" r:id="rId5"/>
    <sheet name="codebook" sheetId="6" r:id="rId6"/>
  </sheets>
  <calcPr calcId="191029"/>
</workbook>
</file>

<file path=xl/calcChain.xml><?xml version="1.0" encoding="utf-8"?>
<calcChain xmlns="http://schemas.openxmlformats.org/spreadsheetml/2006/main">
  <c r="N16" i="5" l="1"/>
  <c r="L16" i="5"/>
  <c r="J16" i="5"/>
  <c r="I16" i="5"/>
  <c r="H16" i="5"/>
  <c r="G16" i="5"/>
  <c r="K16" i="5" s="1"/>
  <c r="M16" i="5" s="1"/>
  <c r="F16" i="5"/>
  <c r="E16" i="5"/>
  <c r="N15" i="5"/>
  <c r="L15" i="5"/>
  <c r="J15" i="5"/>
  <c r="I15" i="5"/>
  <c r="H15" i="5"/>
  <c r="G15" i="5"/>
  <c r="K15" i="5" s="1"/>
  <c r="M15" i="5" s="1"/>
  <c r="F15" i="5"/>
  <c r="E15" i="5"/>
  <c r="N14" i="5"/>
  <c r="L14" i="5"/>
  <c r="J14" i="5"/>
  <c r="I14" i="5"/>
  <c r="H14" i="5"/>
  <c r="K14" i="5" s="1"/>
  <c r="M14" i="5" s="1"/>
  <c r="G14" i="5"/>
  <c r="F14" i="5"/>
  <c r="E14" i="5"/>
  <c r="N13" i="5"/>
  <c r="L13" i="5"/>
  <c r="J13" i="5"/>
  <c r="I13" i="5"/>
  <c r="H13" i="5"/>
  <c r="K13" i="5" s="1"/>
  <c r="M13" i="5" s="1"/>
  <c r="G13" i="5"/>
  <c r="F13" i="5"/>
  <c r="E13" i="5"/>
  <c r="N12" i="5"/>
  <c r="L12" i="5"/>
  <c r="J12" i="5"/>
  <c r="I12" i="5"/>
  <c r="H12" i="5"/>
  <c r="G12" i="5"/>
  <c r="K12" i="5" s="1"/>
  <c r="M12" i="5" s="1"/>
  <c r="F12" i="5"/>
  <c r="E12" i="5"/>
  <c r="N11" i="5"/>
  <c r="L11" i="5"/>
  <c r="J11" i="5"/>
  <c r="I11" i="5"/>
  <c r="H11" i="5"/>
  <c r="G11" i="5"/>
  <c r="K11" i="5" s="1"/>
  <c r="M11" i="5" s="1"/>
  <c r="F11" i="5"/>
  <c r="E11" i="5"/>
  <c r="N10" i="5"/>
  <c r="L10" i="5"/>
  <c r="J10" i="5"/>
  <c r="I10" i="5"/>
  <c r="H10" i="5"/>
  <c r="K10" i="5" s="1"/>
  <c r="M10" i="5" s="1"/>
  <c r="G10" i="5"/>
  <c r="F10" i="5"/>
  <c r="E10" i="5"/>
  <c r="N9" i="5"/>
  <c r="L9" i="5"/>
  <c r="J9" i="5"/>
  <c r="I9" i="5"/>
  <c r="H9" i="5"/>
  <c r="K9" i="5" s="1"/>
  <c r="M9" i="5" s="1"/>
  <c r="G9" i="5"/>
  <c r="F9" i="5"/>
  <c r="E9" i="5"/>
  <c r="N8" i="5"/>
  <c r="L8" i="5"/>
  <c r="J8" i="5"/>
  <c r="I8" i="5"/>
  <c r="H8" i="5"/>
  <c r="G8" i="5"/>
  <c r="K8" i="5" s="1"/>
  <c r="M8" i="5" s="1"/>
  <c r="F8" i="5"/>
  <c r="E8" i="5"/>
  <c r="N7" i="5"/>
  <c r="L7" i="5"/>
  <c r="J7" i="5"/>
  <c r="I7" i="5"/>
  <c r="H7" i="5"/>
  <c r="G7" i="5"/>
  <c r="K7" i="5" s="1"/>
  <c r="M7" i="5" s="1"/>
  <c r="F7" i="5"/>
  <c r="E7" i="5"/>
  <c r="N6" i="5"/>
  <c r="L6" i="5"/>
  <c r="J6" i="5"/>
  <c r="I6" i="5"/>
  <c r="H6" i="5"/>
  <c r="K6" i="5" s="1"/>
  <c r="M6" i="5" s="1"/>
  <c r="G6" i="5"/>
  <c r="F6" i="5"/>
  <c r="E6" i="5"/>
  <c r="N5" i="5"/>
  <c r="L5" i="5"/>
  <c r="J5" i="5"/>
  <c r="I5" i="5"/>
  <c r="H5" i="5"/>
  <c r="K5" i="5" s="1"/>
  <c r="M5" i="5" s="1"/>
  <c r="G5" i="5"/>
  <c r="F5" i="5"/>
  <c r="E5" i="5"/>
  <c r="N4" i="5"/>
  <c r="L4" i="5"/>
  <c r="J4" i="5"/>
  <c r="I4" i="5"/>
  <c r="H4" i="5"/>
  <c r="G4" i="5"/>
  <c r="K4" i="5" s="1"/>
  <c r="M4" i="5" s="1"/>
  <c r="F4" i="5"/>
  <c r="E4" i="5"/>
  <c r="N3" i="5"/>
  <c r="L3" i="5"/>
  <c r="J3" i="5"/>
  <c r="I3" i="5"/>
  <c r="H3" i="5"/>
  <c r="G3" i="5"/>
  <c r="K3" i="5" s="1"/>
  <c r="M3" i="5" s="1"/>
  <c r="F3" i="5"/>
  <c r="E3" i="5"/>
  <c r="N2" i="5"/>
  <c r="L2" i="5"/>
  <c r="J2" i="5"/>
  <c r="I2" i="5"/>
  <c r="H2" i="5"/>
  <c r="K2" i="5" s="1"/>
  <c r="M2" i="5" s="1"/>
  <c r="G2" i="5"/>
  <c r="F2" i="5"/>
  <c r="E2" i="5"/>
  <c r="M59" i="2"/>
  <c r="O59" i="2" s="1"/>
  <c r="M58" i="2"/>
  <c r="O58" i="2" s="1"/>
  <c r="M57" i="2"/>
  <c r="O57" i="2" s="1"/>
  <c r="M56" i="2"/>
  <c r="O56" i="2" s="1"/>
  <c r="M55" i="2"/>
  <c r="O55" i="2" s="1"/>
  <c r="M54" i="2"/>
  <c r="O54" i="2" s="1"/>
  <c r="M53" i="2"/>
  <c r="O53" i="2" s="1"/>
  <c r="M52" i="2"/>
  <c r="O52" i="2" s="1"/>
  <c r="M51" i="2"/>
  <c r="O51" i="2" s="1"/>
  <c r="M50" i="2"/>
  <c r="O50" i="2" s="1"/>
  <c r="M49" i="2"/>
  <c r="O49" i="2" s="1"/>
  <c r="M48" i="2"/>
  <c r="O48" i="2" s="1"/>
  <c r="M47" i="2"/>
  <c r="O47" i="2" s="1"/>
  <c r="M46" i="2"/>
  <c r="O46" i="2" s="1"/>
  <c r="M45" i="2"/>
  <c r="O45" i="2" s="1"/>
  <c r="M44" i="2"/>
  <c r="O44" i="2" s="1"/>
  <c r="M43" i="2"/>
  <c r="O43" i="2" s="1"/>
  <c r="M42" i="2"/>
  <c r="O42" i="2" s="1"/>
  <c r="M41" i="2"/>
  <c r="O41" i="2" s="1"/>
  <c r="M40" i="2"/>
  <c r="O40" i="2" s="1"/>
  <c r="M39" i="2"/>
  <c r="O39" i="2" s="1"/>
  <c r="M38" i="2"/>
  <c r="O38" i="2" s="1"/>
  <c r="M37" i="2"/>
  <c r="O37" i="2" s="1"/>
  <c r="M36" i="2"/>
  <c r="O36" i="2" s="1"/>
  <c r="M35" i="2"/>
  <c r="O35" i="2" s="1"/>
  <c r="M34" i="2"/>
  <c r="O34" i="2" s="1"/>
  <c r="M33" i="2"/>
  <c r="O33" i="2" s="1"/>
  <c r="M32" i="2"/>
  <c r="O32" i="2" s="1"/>
  <c r="M31" i="2"/>
  <c r="O31" i="2" s="1"/>
  <c r="M30" i="2"/>
  <c r="O30" i="2" s="1"/>
  <c r="M29" i="2"/>
  <c r="O29" i="2" s="1"/>
  <c r="M28" i="2"/>
  <c r="O28" i="2" s="1"/>
  <c r="M27" i="2"/>
  <c r="O27" i="2" s="1"/>
  <c r="M26" i="2"/>
  <c r="O26" i="2" s="1"/>
  <c r="M25" i="2"/>
  <c r="O25" i="2" s="1"/>
  <c r="M24" i="2"/>
  <c r="O24" i="2" s="1"/>
  <c r="M23" i="2"/>
  <c r="O23" i="2" s="1"/>
  <c r="M22" i="2"/>
  <c r="O22" i="2" s="1"/>
  <c r="M21" i="2"/>
  <c r="O21" i="2" s="1"/>
  <c r="M20" i="2"/>
  <c r="O20" i="2" s="1"/>
  <c r="M19" i="2"/>
  <c r="O19" i="2" s="1"/>
  <c r="M18" i="2"/>
  <c r="O18" i="2" s="1"/>
  <c r="M17" i="2"/>
  <c r="O17" i="2" s="1"/>
  <c r="M16" i="2"/>
  <c r="O16" i="2" s="1"/>
  <c r="M15" i="2"/>
  <c r="O15" i="2" s="1"/>
  <c r="M14" i="2"/>
  <c r="O14" i="2" s="1"/>
  <c r="M13" i="2"/>
  <c r="O13" i="2" s="1"/>
  <c r="M12" i="2"/>
  <c r="O12" i="2" s="1"/>
  <c r="M11" i="2"/>
  <c r="O11" i="2" s="1"/>
  <c r="M10" i="2"/>
  <c r="O10" i="2" s="1"/>
  <c r="M9" i="2"/>
  <c r="O9" i="2" s="1"/>
  <c r="M8" i="2"/>
  <c r="O8" i="2" s="1"/>
  <c r="M7" i="2"/>
  <c r="O7" i="2" s="1"/>
  <c r="M6" i="2"/>
  <c r="O6" i="2" s="1"/>
  <c r="M5" i="2"/>
  <c r="O5" i="2" s="1"/>
  <c r="M4" i="2"/>
  <c r="O4" i="2" s="1"/>
  <c r="M3" i="2"/>
  <c r="O3" i="2" s="1"/>
  <c r="M2" i="2"/>
  <c r="O2" i="2" s="1"/>
</calcChain>
</file>

<file path=xl/sharedStrings.xml><?xml version="1.0" encoding="utf-8"?>
<sst xmlns="http://schemas.openxmlformats.org/spreadsheetml/2006/main" count="1041" uniqueCount="488">
  <si>
    <t>FirstBite 음식 DB 입력 템플릿</t>
  </si>
  <si>
    <t>목적</t>
  </si>
  <si>
    <t>해커톤 구현용 음식·영양·GI·사이드 메뉴 데이터를 한 파일에서 관리합니다.</t>
  </si>
  <si>
    <t>입력 순서</t>
  </si>
  <si>
    <t>1) sources 출처 보완 → 2) foods 빈 영양값 입력 → 3) food_sources 연결 확인 → 4) side_menu_catalog 가격·용이성 입력</t>
  </si>
  <si>
    <t>ID 정책</t>
  </si>
  <si>
    <t>id는 서버 저장 시 UUID v7로 생성하고, 엑셀에서는 비워 둡니다. food_code/source_code는 변경하지 않는 고유 업무 식별자입니다.</t>
  </si>
  <si>
    <t>GL 계산</t>
  </si>
  <si>
    <t>유효 탄수화물(g)=MAX(탄수화물-식이섬유,0), GL=GI×유효 탄수화물/100. foods 시트에서 자동 계산됩니다.</t>
  </si>
  <si>
    <t>노란색 셀</t>
  </si>
  <si>
    <t>사용자가 확인·입력해야 하는 값입니다. 미확정 값은 0 대신 빈칸으로 두세요.</t>
  </si>
  <si>
    <t>사이드 메뉴 영양값</t>
  </si>
  <si>
    <t>foods 시트에서 해당 food_code 행의 영양값을 입력하면 side_menu_catalog에 자동 표시되고 GL도 계산됩니다.</t>
  </si>
  <si>
    <t>품질 구분</t>
  </si>
  <si>
    <t>MEASURED=실측, ESTIMATED=추정, GROUP_ESTIMATED=식품군 대표값, UNKNOWN=출처·값 미확정</t>
  </si>
  <si>
    <t>주의</t>
  </si>
  <si>
    <t>이 파일의 GL은 상대 비교용이며 개인 혈당 예측, 진단 또는 처방 수치가 아닙니다.</t>
  </si>
  <si>
    <t>id</t>
  </si>
  <si>
    <t>food_code</t>
  </si>
  <si>
    <t>name</t>
  </si>
  <si>
    <t>category</t>
  </si>
  <si>
    <t>initials</t>
  </si>
  <si>
    <t>serving_description</t>
  </si>
  <si>
    <t>serving_amount</t>
  </si>
  <si>
    <t>serving_unit</t>
  </si>
  <si>
    <t>carb_g</t>
  </si>
  <si>
    <t>fiber_g</t>
  </si>
  <si>
    <t>protein_g</t>
  </si>
  <si>
    <t>fat_g</t>
  </si>
  <si>
    <t>available_carb_g</t>
  </si>
  <si>
    <t>gi</t>
  </si>
  <si>
    <t>gl</t>
  </si>
  <si>
    <t>calorie_kcal</t>
  </si>
  <si>
    <t>nutrition_data_quality</t>
  </si>
  <si>
    <t>gi_data_quality</t>
  </si>
  <si>
    <t>is_active</t>
  </si>
  <si>
    <t>created_at</t>
  </si>
  <si>
    <t>updated_at</t>
  </si>
  <si>
    <t>gimbap</t>
  </si>
  <si>
    <t>김밥</t>
  </si>
  <si>
    <t>밥류</t>
  </si>
  <si>
    <t>ㄱㅂ</t>
  </si>
  <si>
    <t>일반 김밥 1줄(약 230g)</t>
  </si>
  <si>
    <t>G</t>
  </si>
  <si>
    <t>식품영양성분 데이터베이스</t>
  </si>
  <si>
    <t>MEASURED</t>
  </si>
  <si>
    <t>tteokbokki</t>
  </si>
  <si>
    <t>떡볶이</t>
  </si>
  <si>
    <t>분식</t>
  </si>
  <si>
    <t>ㄸㅂㅇ</t>
  </si>
  <si>
    <t>일반 떡볶이 1인분(약 200g)</t>
  </si>
  <si>
    <t>GROUP_ESTIMATED</t>
  </si>
  <si>
    <t>bibimbap</t>
  </si>
  <si>
    <t>비빔밥</t>
  </si>
  <si>
    <t>ㅂㅂㅂ</t>
  </si>
  <si>
    <t>일반 비빔밥 1그릇(약 500g)</t>
  </si>
  <si>
    <t>chicken_salad</t>
  </si>
  <si>
    <t>치킨 샐러드</t>
  </si>
  <si>
    <t>채소류</t>
  </si>
  <si>
    <t>ㅊㅋㅅㄹㄷ</t>
  </si>
  <si>
    <t>치킨 샐러드 1접시(약 100g)</t>
  </si>
  <si>
    <t>fried_chicken</t>
  </si>
  <si>
    <t>치킨</t>
  </si>
  <si>
    <t>육류</t>
  </si>
  <si>
    <t>ㅊㅋ</t>
  </si>
  <si>
    <t>후라이드치킨 가식부 약 200g</t>
  </si>
  <si>
    <t>white_rice</t>
  </si>
  <si>
    <t>백미밥</t>
  </si>
  <si>
    <t>ㅂㅁㅂ</t>
  </si>
  <si>
    <t>1공기(약 210g)</t>
  </si>
  <si>
    <t>multigrain_rice</t>
  </si>
  <si>
    <t>잡곡밥</t>
  </si>
  <si>
    <t>ㅈㄱㅂ</t>
  </si>
  <si>
    <t>ESTIMATED</t>
  </si>
  <si>
    <t>egg_fried_rice</t>
  </si>
  <si>
    <t>계란볶음밥</t>
  </si>
  <si>
    <t>ㅂㅇㅂ</t>
  </si>
  <si>
    <t>1그릇(약 300g)</t>
  </si>
  <si>
    <t>curry_rice</t>
  </si>
  <si>
    <t>카레라이스</t>
  </si>
  <si>
    <t>ㅋㄹㄹㅇㅅ</t>
  </si>
  <si>
    <t>1그릇(약 450g)</t>
  </si>
  <si>
    <t>spicy_pork_rice</t>
  </si>
  <si>
    <t>제육덮밥</t>
  </si>
  <si>
    <t>ㅈㅇㄷㅂ</t>
  </si>
  <si>
    <t>kimchi_stew</t>
  </si>
  <si>
    <t>김치찌개</t>
  </si>
  <si>
    <t>국·찌개류</t>
  </si>
  <si>
    <t>ㄱㅊㅉㄱ</t>
  </si>
  <si>
    <t>1인분(약 300g)</t>
  </si>
  <si>
    <t>soybean_paste_stew</t>
  </si>
  <si>
    <t>된장찌개</t>
  </si>
  <si>
    <t>ㄷㅈㅉㄱ</t>
  </si>
  <si>
    <t>soft_tofu_stew</t>
  </si>
  <si>
    <t>순두부찌개</t>
  </si>
  <si>
    <t>ㅅㄷㅂㅉㄱ</t>
  </si>
  <si>
    <t>1인분(약 350g)</t>
  </si>
  <si>
    <t>seaweed_soup</t>
  </si>
  <si>
    <t>미역국</t>
  </si>
  <si>
    <t>ㅁㅇㄱ</t>
  </si>
  <si>
    <t>1대접(약 300g)</t>
  </si>
  <si>
    <t>seolleongtang</t>
  </si>
  <si>
    <t>설렁탕</t>
  </si>
  <si>
    <t>ㅅㄹㅌ</t>
  </si>
  <si>
    <t>1그릇(약 500g)</t>
  </si>
  <si>
    <t>samgyetang</t>
  </si>
  <si>
    <t>삼계탕</t>
  </si>
  <si>
    <t>ㅅㄱㅌ</t>
  </si>
  <si>
    <t>1그릇(약 800g)</t>
  </si>
  <si>
    <t>bulgogi</t>
  </si>
  <si>
    <t>소불고기</t>
  </si>
  <si>
    <t>ㅅㅂㄱㄱ</t>
  </si>
  <si>
    <t>1인분(약 200g)</t>
  </si>
  <si>
    <t>spicy_pork</t>
  </si>
  <si>
    <t>제육볶음</t>
  </si>
  <si>
    <t>ㅈㅇㅂㅇ</t>
  </si>
  <si>
    <t>grilled_pork_belly</t>
  </si>
  <si>
    <t>삼겹살구이</t>
  </si>
  <si>
    <t>ㅅㄱㅅㄱㅇ</t>
  </si>
  <si>
    <t>가식부 약 150g</t>
  </si>
  <si>
    <t>grilled_mackerel</t>
  </si>
  <si>
    <t>고등어구이</t>
  </si>
  <si>
    <t>어패류</t>
  </si>
  <si>
    <t>ㄱㄷㅇㄱㅇ</t>
  </si>
  <si>
    <t>1토막(가식부 약 100g)</t>
  </si>
  <si>
    <t>ramyeon</t>
  </si>
  <si>
    <t>라면</t>
  </si>
  <si>
    <t>면류</t>
  </si>
  <si>
    <t>ㄹㅁ</t>
  </si>
  <si>
    <t>1봉 조리 후(약 550g)</t>
  </si>
  <si>
    <t>banquet_noodles</t>
  </si>
  <si>
    <t>잔치국수</t>
  </si>
  <si>
    <t>ㅈㅊㄱㅅ</t>
  </si>
  <si>
    <t>kalguksu</t>
  </si>
  <si>
    <t>칼국수</t>
  </si>
  <si>
    <t>ㅋㄱㅅ</t>
  </si>
  <si>
    <t>1그릇(약 600g)</t>
  </si>
  <si>
    <t>naengmyeon</t>
  </si>
  <si>
    <t>냉면</t>
  </si>
  <si>
    <t>ㄴㅁ</t>
  </si>
  <si>
    <t>1그릇(약 550g)</t>
  </si>
  <si>
    <t>jajangmyeon</t>
  </si>
  <si>
    <t>짜장면</t>
  </si>
  <si>
    <t>ㅉㅈㅁ</t>
  </si>
  <si>
    <t>1그릇(약 650g)</t>
  </si>
  <si>
    <t>corn</t>
  </si>
  <si>
    <t>옥수수</t>
  </si>
  <si>
    <t>찜류</t>
  </si>
  <si>
    <t>ㅇㅅㅅ</t>
  </si>
  <si>
    <t>1개 (약 100g)</t>
  </si>
  <si>
    <t>pork_cutlet</t>
  </si>
  <si>
    <t>돈가스</t>
  </si>
  <si>
    <t>양식</t>
  </si>
  <si>
    <t>ㄷㄱㅅ</t>
  </si>
  <si>
    <t>돈가스와 소스 약 250g</t>
  </si>
  <si>
    <t>ham_sandwich</t>
  </si>
  <si>
    <t>햄샌드위치</t>
  </si>
  <si>
    <t>빵류</t>
  </si>
  <si>
    <t>ㅎㅅㄷㅇㅊ</t>
  </si>
  <si>
    <t>1개(약 200g)</t>
  </si>
  <si>
    <t>white_bread</t>
  </si>
  <si>
    <t>식빵</t>
  </si>
  <si>
    <t>ㅅㅃ</t>
  </si>
  <si>
    <t>토스트 2개(약 80g)</t>
  </si>
  <si>
    <t>udon</t>
  </si>
  <si>
    <t>우동</t>
  </si>
  <si>
    <t>ㅇㄷ</t>
  </si>
  <si>
    <t>1그릇(약500g)</t>
  </si>
  <si>
    <t>oil_based_pasta</t>
  </si>
  <si>
    <t>오일 파스타</t>
  </si>
  <si>
    <t>ㅇㅇ ㅍㅅㅌ</t>
  </si>
  <si>
    <t>200g</t>
  </si>
  <si>
    <t>cereal</t>
  </si>
  <si>
    <t>시리얼</t>
  </si>
  <si>
    <t>ㅅㄹㅇ</t>
  </si>
  <si>
    <t>1인분 (190g)</t>
  </si>
  <si>
    <t>fried_rice</t>
  </si>
  <si>
    <t>볶음밥</t>
  </si>
  <si>
    <t>1인분 (350g)</t>
  </si>
  <si>
    <t>meat_dumplings</t>
  </si>
  <si>
    <t>고기만두</t>
  </si>
  <si>
    <t>만두류</t>
  </si>
  <si>
    <t>ㅁㄷ</t>
  </si>
  <si>
    <t>1인분(220g)</t>
  </si>
  <si>
    <t>carrot</t>
  </si>
  <si>
    <t>당근</t>
  </si>
  <si>
    <t>농산품</t>
  </si>
  <si>
    <t>ㄷㄱ</t>
  </si>
  <si>
    <t>100g</t>
  </si>
  <si>
    <t>tomato_juice</t>
  </si>
  <si>
    <t>토마토주스</t>
  </si>
  <si>
    <t>음료류</t>
  </si>
  <si>
    <t>ㅌㅁㅌㅈㅅ</t>
  </si>
  <si>
    <t>190ml</t>
  </si>
  <si>
    <t>ML</t>
  </si>
  <si>
    <t>pear</t>
  </si>
  <si>
    <t>배</t>
  </si>
  <si>
    <t>과일류</t>
  </si>
  <si>
    <t>ㅂ</t>
  </si>
  <si>
    <t>mandarin</t>
  </si>
  <si>
    <t>귤</t>
  </si>
  <si>
    <t>ㄱ</t>
  </si>
  <si>
    <t>watermelon</t>
  </si>
  <si>
    <t>수박</t>
  </si>
  <si>
    <t>ㅅㅂ</t>
  </si>
  <si>
    <t>peach</t>
  </si>
  <si>
    <t>복숭아</t>
  </si>
  <si>
    <t>ㅂㅅㅇ</t>
  </si>
  <si>
    <t>castella</t>
  </si>
  <si>
    <t>카스텔라</t>
  </si>
  <si>
    <t>ㅋㅅㅌㄹ</t>
  </si>
  <si>
    <t>70g</t>
  </si>
  <si>
    <t>doughnut</t>
  </si>
  <si>
    <t>도넛</t>
  </si>
  <si>
    <t>ㄷㄴ</t>
  </si>
  <si>
    <t>porridge</t>
  </si>
  <si>
    <t>흰죽</t>
  </si>
  <si>
    <t>죽</t>
  </si>
  <si>
    <t>ㅎㅈ</t>
  </si>
  <si>
    <t>300g</t>
  </si>
  <si>
    <t>boiled_egg</t>
  </si>
  <si>
    <t>구운계란</t>
  </si>
  <si>
    <t>사이드</t>
  </si>
  <si>
    <t>2개</t>
  </si>
  <si>
    <t>COUNT</t>
  </si>
  <si>
    <t>UNKNOWN</t>
  </si>
  <si>
    <t>soft_tofu</t>
  </si>
  <si>
    <t>연두부</t>
  </si>
  <si>
    <t>1개</t>
  </si>
  <si>
    <t>chicken_breast</t>
  </si>
  <si>
    <t>닭가슴살</t>
  </si>
  <si>
    <t>cherry_tomato</t>
  </si>
  <si>
    <t>방울토마토</t>
  </si>
  <si>
    <t>radish_namul</t>
  </si>
  <si>
    <t>무나물</t>
  </si>
  <si>
    <t>50g</t>
  </si>
  <si>
    <t>cucumber</t>
  </si>
  <si>
    <t>오이</t>
  </si>
  <si>
    <t>cabbage</t>
  </si>
  <si>
    <t>양배추</t>
  </si>
  <si>
    <t>almonds</t>
  </si>
  <si>
    <t>아몬드</t>
  </si>
  <si>
    <t>1팩 (30g)</t>
  </si>
  <si>
    <t>apple</t>
  </si>
  <si>
    <t>사과</t>
  </si>
  <si>
    <t>paprika</t>
  </si>
  <si>
    <t>파프리카</t>
  </si>
  <si>
    <t>boiled_broccoli</t>
  </si>
  <si>
    <t>삶은 브로콜리</t>
  </si>
  <si>
    <t>canned_tuna</t>
  </si>
  <si>
    <t>참치 통조림</t>
  </si>
  <si>
    <t>plain_greek_yogurt</t>
  </si>
  <si>
    <t>무가당 그릭요거트</t>
  </si>
  <si>
    <t>milk</t>
  </si>
  <si>
    <t>우유</t>
  </si>
  <si>
    <t>200ml</t>
  </si>
  <si>
    <t>edamame</t>
  </si>
  <si>
    <t>풋콩</t>
  </si>
  <si>
    <t>source_code</t>
  </si>
  <si>
    <t>organization</t>
  </si>
  <si>
    <t>title</t>
  </si>
  <si>
    <t>url</t>
  </si>
  <si>
    <t>publication_year</t>
  </si>
  <si>
    <t>accessed_at</t>
  </si>
  <si>
    <t>notes</t>
  </si>
  <si>
    <t>LOGI_FOOD_COACH</t>
  </si>
  <si>
    <t>Logi Food Coach</t>
  </si>
  <si>
    <t>영양성분·GI 참고 데이터</t>
  </si>
  <si>
    <t>원 출처 확인 필요</t>
  </si>
  <si>
    <t>SCIENCEDIRECT_UNSPECIFIED</t>
  </si>
  <si>
    <t>ScienceDirect</t>
  </si>
  <si>
    <t>GI 관련 논문(세부 서지정보 입력 필요)</t>
  </si>
  <si>
    <t>논문명·저자·연도·URL 확인 필요</t>
  </si>
  <si>
    <t>GLYCEMIC_INDEX_COM</t>
  </si>
  <si>
    <t>The University of Sydney</t>
  </si>
  <si>
    <t>Glycemic Index Research Service / GI Search</t>
  </si>
  <si>
    <t>https://glycemicindex.com</t>
  </si>
  <si>
    <t>CGM_FOUR_DIETS_STUDY</t>
  </si>
  <si>
    <t>연속혈당측정기를 사용한 4가지 식단에 따른 혈당 변동성 및 혈당 조절능에 대한 연구</t>
  </si>
  <si>
    <t>KOREAN_DIET_GI_ESTIMATE</t>
  </si>
  <si>
    <t>한국인 상용식품의 혈당지수 추정치를 활용한 한국 성인의 식사혈당지수 산출</t>
  </si>
  <si>
    <t>CARB_SNACK_GI_STUDY</t>
  </si>
  <si>
    <t>탄수화물 간식류 식품 및 조리방법에 따른 혈당지수 및 혈당부하지수</t>
  </si>
  <si>
    <t>ATKINSON_2008</t>
  </si>
  <si>
    <t>International tables of glycemic index and glycemic load values: 2008</t>
  </si>
  <si>
    <t>FOSTER_POWELL_2002</t>
  </si>
  <si>
    <t>International table of glycemic index and glycemic load values: 2002</t>
  </si>
  <si>
    <t>source_type</t>
  </si>
  <si>
    <t>data_quality</t>
  </si>
  <si>
    <t>GI</t>
  </si>
  <si>
    <t>NUTRITION</t>
  </si>
  <si>
    <t>food_name</t>
  </si>
  <si>
    <t>focus_nutrient</t>
  </si>
  <si>
    <t>purchase_place</t>
  </si>
  <si>
    <t>ease_score</t>
  </si>
  <si>
    <t>price_min_krw</t>
  </si>
  <si>
    <t>price_max_krw</t>
  </si>
  <si>
    <t>recommendation_reason</t>
  </si>
  <si>
    <t>PROTEIN</t>
  </si>
  <si>
    <t>편의점</t>
  </si>
  <si>
    <t>단백질을 간편하게 보완할 수 있어요</t>
  </si>
  <si>
    <t>부드럽게 먹을 수 있는 단백질 메뉴예요</t>
  </si>
  <si>
    <t>단백질이 부족한 식사에 추가하기 좋아요</t>
  </si>
  <si>
    <t>FIBER</t>
  </si>
  <si>
    <t>마트</t>
  </si>
  <si>
    <t>간편하게 식이섬유를 더할 수 있어요</t>
  </si>
  <si>
    <t>식이섬유가 포함된 반찬을 추가할 수 있어요</t>
  </si>
  <si>
    <t>가볍게 곁들일 수 있는 채소예요</t>
  </si>
  <si>
    <t>BOTH</t>
  </si>
  <si>
    <t>마트, 편의점</t>
  </si>
  <si>
    <t>sheet</t>
  </si>
  <si>
    <t>column</t>
  </si>
  <si>
    <t>type</t>
  </si>
  <si>
    <t>nullable</t>
  </si>
  <si>
    <t>description</t>
  </si>
  <si>
    <t>allowed_values / example</t>
  </si>
  <si>
    <t>foods</t>
  </si>
  <si>
    <t>uuid</t>
  </si>
  <si>
    <t>Y</t>
  </si>
  <si>
    <t>DB 기본키. 서버 저장 시 UUID v7 생성</t>
  </si>
  <si>
    <t>019...</t>
  </si>
  <si>
    <t>string</t>
  </si>
  <si>
    <t>N</t>
  </si>
  <si>
    <t>변경하지 않는 음식 업무 식별자</t>
  </si>
  <si>
    <t>snake_case, unique</t>
  </si>
  <si>
    <t>decimal</t>
  </si>
  <si>
    <t>영양값의 기준 제공량</t>
  </si>
  <si>
    <t>100</t>
  </si>
  <si>
    <t>enum</t>
  </si>
  <si>
    <t>제공량 단위</t>
  </si>
  <si>
    <t>G, ML, COUNT</t>
  </si>
  <si>
    <t>carb_g/fiber_g/protein_g/fat_g</t>
  </si>
  <si>
    <t>해당 제공량 기준 영양성분(g)</t>
  </si>
  <si>
    <t>&gt;= 0</t>
  </si>
  <si>
    <t>formula</t>
  </si>
  <si>
    <t>탄수화물-식이섬유, 최소 0</t>
  </si>
  <si>
    <t>자동 계산</t>
  </si>
  <si>
    <t>혈당지수. 미확정은 빈칸</t>
  </si>
  <si>
    <t>0~100 권장, 출처 필수</t>
  </si>
  <si>
    <t>GI×유효 탄수화물/100</t>
  </si>
  <si>
    <t>nutrition_data_quality / gi_data_quality</t>
  </si>
  <si>
    <t>데이터 품질 상태</t>
  </si>
  <si>
    <t>MEASURED, ESTIMATED, GROUP_ESTIMATED, UNKNOWN</t>
  </si>
  <si>
    <t>sources</t>
  </si>
  <si>
    <t>변경하지 않는 출처 식별자</t>
  </si>
  <si>
    <t>UPPER_SNAKE_CASE, unique</t>
  </si>
  <si>
    <t>food_sources</t>
  </si>
  <si>
    <t>출처가 뒷받침하는 데이터 구분</t>
  </si>
  <si>
    <t>NUTRITION, GI</t>
  </si>
  <si>
    <t>side_menu_catalog</t>
  </si>
  <si>
    <t>보완 목적 영양소</t>
  </si>
  <si>
    <t>PROTEIN, FIBER, BOTH</t>
  </si>
  <si>
    <t>carb_g~calorie_kcal</t>
  </si>
  <si>
    <t>foods의 동일 food_code 영양값을 표시. foods 시트에서 입력</t>
  </si>
  <si>
    <t>GL은 자동 계산</t>
  </si>
  <si>
    <t>integer</t>
  </si>
  <si>
    <t>구매·섭취 용이성</t>
  </si>
  <si>
    <t>1~5</t>
  </si>
  <si>
    <t>price_min_krw / price_max_krw</t>
  </si>
  <si>
    <t>예상 가격 범위(원)</t>
  </si>
  <si>
    <t>대표 이미지</t>
  </si>
  <si>
    <t>음식 대표 이미지는 S3에 업로드한 뒤 foods.image_url에 URL을 입력합니다. 미등록 시 비워 두고 화면에서 기본 이미지를 사용합니다.</t>
  </si>
  <si>
    <t>화면 추가 필드</t>
  </si>
  <si>
    <t>description은 화면용 짧은 설명입니다. sodium_mg는 식약처 등 확인 가능한 출처의 1인분 기준 나트륨(mg)만 입력하며 미확정 값은 비워 둡니다.</t>
  </si>
  <si>
    <t>나트륨 입력 기준</t>
  </si>
  <si>
    <t>sodium_mg는 foods 행의 1인분 기준 값입니다. K-FIND(식약처) 대표 음식을 우선 매칭하고, 적절한 항목이 없으면 USDA 공개 대표값을 사용했습니다. 정확한 제품 분석값이 아니라 화면·해커톤용 대표값이므로 출처 URL과 매칭 메모를 함께 확인하세요.</t>
  </si>
  <si>
    <t>image_url</t>
  </si>
  <si>
    <t>sodium_mg</t>
  </si>
  <si>
    <t>sodium_source_url</t>
  </si>
  <si>
    <t>sodium_match_note</t>
  </si>
  <si>
    <t>김밥의 일반 김밥 1줄(약 230g) 기준 영양정보를 제공하는 메뉴입니다.</t>
  </si>
  <si>
    <t>https://various.foodsafetykorea.go.kr/nutrient/general/food/firstList.do</t>
  </si>
  <si>
    <t>김밥(가정식) 307 mg/100g × 230g</t>
  </si>
  <si>
    <t>떡볶이의 일반 떡볶이 1인분(약 200g) 기준 영양정보를 제공하는 메뉴입니다.</t>
  </si>
  <si>
    <t>떡볶이 대표 음식값을 200g으로 환산</t>
  </si>
  <si>
    <t>비빔밥의 일반 비빔밥 1그릇(약 500g) 기준 영양정보를 제공하는 메뉴입니다.</t>
  </si>
  <si>
    <t>비빔밥 대표 음식값을 500g으로 환산</t>
  </si>
  <si>
    <t>치킨 샐러드의 치킨 샐러드 1접시(약 100g) 기준 영양정보를 제공하는 메뉴입니다.</t>
  </si>
  <si>
    <t>치킨 샐러드 대표 음식 100g 기준</t>
  </si>
  <si>
    <t>치킨의 후라이드치킨 가식부 약 200g 기준 영양정보를 제공하는 메뉴입니다.</t>
  </si>
  <si>
    <t>후라이드치킨 대표 음식값을 200g으로 환산</t>
  </si>
  <si>
    <t>백미밥의 1공기(약 210g) 기준 영양정보를 제공하는 메뉴입니다.</t>
  </si>
  <si>
    <t>백미밥 대표 음식값을 210g으로 환산</t>
  </si>
  <si>
    <t>잡곡밥의 1공기(약 210g) 기준 영양정보를 제공하는 메뉴입니다.</t>
  </si>
  <si>
    <t>잡곡밥 대표 음식값을 210g으로 환산</t>
  </si>
  <si>
    <t>계란볶음밥의 1그릇(약 300g) 기준 영양정보를 제공하는 메뉴입니다.</t>
  </si>
  <si>
    <t>계란볶음밥 대표 음식값을 300g으로 환산</t>
  </si>
  <si>
    <t>카레라이스의 1그릇(약 450g) 기준 영양정보를 제공하는 메뉴입니다.</t>
  </si>
  <si>
    <t>카레라이스 대표 음식값을 450g으로 환산</t>
  </si>
  <si>
    <t>제육덮밥의 1그릇(약 450g) 기준 영양정보를 제공하는 메뉴입니다.</t>
  </si>
  <si>
    <t>제육덮밥 대표 음식값을 450g으로 환산</t>
  </si>
  <si>
    <t>김치찌개의 1인분(약 300g) 기준 영양정보를 제공하는 메뉴입니다.</t>
  </si>
  <si>
    <t>김치찌개 대표 음식값을 300g으로 환산</t>
  </si>
  <si>
    <t>된장찌개의 1인분(약 300g) 기준 영양정보를 제공하는 메뉴입니다.</t>
  </si>
  <si>
    <t>된장찌개 대표 음식값을 300g으로 환산</t>
  </si>
  <si>
    <t>순두부찌개의 1인분(약 350g) 기준 영양정보를 제공하는 메뉴입니다.</t>
  </si>
  <si>
    <t>순두부찌개 대표 음식값을 350g으로 환산</t>
  </si>
  <si>
    <t>미역국의 1대접(약 300g) 기준 영양정보를 제공하는 메뉴입니다.</t>
  </si>
  <si>
    <t>미역국 대표 음식값을 300g으로 환산</t>
  </si>
  <si>
    <t>설렁탕의 1그릇(약 500g) 기준 영양정보를 제공하는 메뉴입니다.</t>
  </si>
  <si>
    <t>설렁탕 대표 음식값을 500g으로 환산(추가 소금 제외)</t>
  </si>
  <si>
    <t>삼계탕의 1그릇(약 800g) 기준 영양정보를 제공하는 메뉴입니다.</t>
  </si>
  <si>
    <t>삼계탕 대표 음식값을 800g으로 환산</t>
  </si>
  <si>
    <t>소불고기의 1인분(약 200g) 기준 영양정보를 제공하는 메뉴입니다.</t>
  </si>
  <si>
    <t>소불고기 대표 음식값을 200g으로 환산</t>
  </si>
  <si>
    <t>제육볶음의 1인분(약 200g) 기준 영양정보를 제공하는 메뉴입니다.</t>
  </si>
  <si>
    <t>제육볶음 대표 음식값을 200g으로 환산</t>
  </si>
  <si>
    <t>삼겹살구이의 가식부 약 150g 기준 영양정보를 제공하는 메뉴입니다.</t>
  </si>
  <si>
    <t>삼겹살구이 150g 기준(소스·쌈장 제외)</t>
  </si>
  <si>
    <t>고등어구이의 1토막(가식부 약 100g) 기준 영양정보를 제공하는 메뉴입니다.</t>
  </si>
  <si>
    <t>고등어구이 대표 음식 100g 기준</t>
  </si>
  <si>
    <t>라면의 1봉 조리 후(약 550g) 기준 영양정보를 제공하는 메뉴입니다.</t>
  </si>
  <si>
    <t>라면 1봉 조리 후 기준</t>
  </si>
  <si>
    <t>잔치국수의 1그릇(약 500g) 기준 영양정보를 제공하는 메뉴입니다.</t>
  </si>
  <si>
    <t>잔치국수 대표 음식값을 500g으로 환산</t>
  </si>
  <si>
    <t>칼국수의 1그릇(약 600g) 기준 영양정보를 제공하는 메뉴입니다.</t>
  </si>
  <si>
    <t>칼국수 대표 음식값을 600g으로 환산</t>
  </si>
  <si>
    <t>냉면의 1그릇(약 550g) 기준 영양정보를 제공하는 메뉴입니다.</t>
  </si>
  <si>
    <t>냉면 대표 음식값을 550g으로 환산</t>
  </si>
  <si>
    <t>짜장면의 1그릇(약 650g) 기준 영양정보를 제공하는 메뉴입니다.</t>
  </si>
  <si>
    <t>짜장면 대표 음식값을 650g으로 환산</t>
  </si>
  <si>
    <t>옥수수의 1개 (약 100g) 기준 영양정보를 제공하는 메뉴입니다.</t>
  </si>
  <si>
    <t>https://fdc.nal.usda.gov/fdc-app.html#/food-search</t>
  </si>
  <si>
    <t>삶은 옥수수 약 100g, 무염 기준 대표값</t>
  </si>
  <si>
    <t>돈가스의 돈가스와 소스 약 250g 기준 영양정보를 제공하는 메뉴입니다.</t>
  </si>
  <si>
    <t>돈가스+소스 약 250g 대표값</t>
  </si>
  <si>
    <t>햄샌드위치의 1개(약 200g) 기준 영양정보를 제공하는 메뉴입니다.</t>
  </si>
  <si>
    <t>햄샌드위치 약 200g 대표값</t>
  </si>
  <si>
    <t>식빵의 토스트 2개(약 80g) 기준 영양정보를 제공하는 메뉴입니다.</t>
  </si>
  <si>
    <t>식빵 80g 대표값</t>
  </si>
  <si>
    <t>우동의 1그릇(약500g) 기준 영양정보를 제공하는 메뉴입니다.</t>
  </si>
  <si>
    <t>우동 1그릇 약 500g 대표값</t>
  </si>
  <si>
    <t>오일 파스타의 200g 기준 영양정보를 제공하는 메뉴입니다.</t>
  </si>
  <si>
    <t>오일 파스타 200g 대표값</t>
  </si>
  <si>
    <t>시리얼의 1인분 (190g) 기준 영양정보를 제공하는 메뉴입니다.</t>
  </si>
  <si>
    <t>시리얼 190g 기준 대표값</t>
  </si>
  <si>
    <t>볶음밥의 1인분 (350g) 기준 영양정보를 제공하는 메뉴입니다.</t>
  </si>
  <si>
    <t>볶음밥 350g 대표값</t>
  </si>
  <si>
    <t>고기만두의 1인분(220g) 기준 영양정보를 제공하는 메뉴입니다.</t>
  </si>
  <si>
    <t>고기만두 220g 대표값</t>
  </si>
  <si>
    <t>당근의 100g 기준 영양정보를 제공하는 메뉴입니다.</t>
  </si>
  <si>
    <t>생 당근 100g 대표값</t>
  </si>
  <si>
    <t>토마토주스의 190ml 기준 영양정보를 제공하는 메뉴입니다.</t>
  </si>
  <si>
    <t>토마토주스 190ml 일반 제품 대표값</t>
  </si>
  <si>
    <t>배의 100g 기준 영양정보를 제공하는 메뉴입니다.</t>
  </si>
  <si>
    <t>생 배 100g 대표값</t>
  </si>
  <si>
    <t>귤의 100g 기준 영양정보를 제공하는 메뉴입니다.</t>
  </si>
  <si>
    <t>생 귤 100g 대표값</t>
  </si>
  <si>
    <t>수박의 200g 기준 영양정보를 제공하는 메뉴입니다.</t>
  </si>
  <si>
    <t>생 수박 200g 대표값</t>
  </si>
  <si>
    <t>복숭아의 100g 기준 영양정보를 제공하는 메뉴입니다.</t>
  </si>
  <si>
    <t>생 복숭아 100g 대표값</t>
  </si>
  <si>
    <t>카스텔라의 70g 기준 영양정보를 제공하는 메뉴입니다.</t>
  </si>
  <si>
    <t>카스텔라 70g 대표값</t>
  </si>
  <si>
    <t>도넛의 70g 기준 영양정보를 제공하는 메뉴입니다.</t>
  </si>
  <si>
    <t>도넛 70g 대표값</t>
  </si>
  <si>
    <t>흰죽의 300g 기준 영양정보를 제공하는 메뉴입니다.</t>
  </si>
  <si>
    <t>흰죽 300g 대표값</t>
  </si>
  <si>
    <t>간편하게 단백질을 보완할 수 있는 구운 계란 사이드입니다.</t>
  </si>
  <si>
    <t>큰 달걀 2개, 1개당 약 62mg</t>
  </si>
  <si>
    <t>부드럽게 곁들여 먹을 수 있는 연두부 사이드입니다.</t>
  </si>
  <si>
    <t>연두부 1개 무첨가 대표값</t>
  </si>
  <si>
    <t>단백질이 부족한 식사에 가볍게 추가하기 좋은 닭가슴살입니다.</t>
  </si>
  <si>
    <t>조리 닭가슴살 1회분 무염 대표값</t>
  </si>
  <si>
    <t>상큼하게 곁들이며 식이섬유를 더할 수 있는 방울토마토입니다.</t>
  </si>
  <si>
    <t>방울토마토 100g 대표값</t>
  </si>
  <si>
    <t>담백하게 식이섬유 반찬을 보완할 수 있는 무나물입니다.</t>
  </si>
  <si>
    <t>무나물 50g 대표값</t>
  </si>
  <si>
    <t>아삭하고 가볍게 곁들일 수 있는 오이 사이드입니다.</t>
  </si>
  <si>
    <t>생 오이 200g 대표값</t>
  </si>
  <si>
    <t>식이섬유를 보완하며 먼저 먹기 좋은 양배추 사이드입니다.</t>
  </si>
  <si>
    <t>생 양배추 100g 대표값</t>
  </si>
  <si>
    <t>단백질과 식이섬유를 함께 보완할 수 있는 소포장 아몬드입니다.</t>
  </si>
  <si>
    <t>무염 아몬드 30g 대표값</t>
  </si>
  <si>
    <t>간편하게 식이섬유를 더할 수 있는 사과 사이드입니다.</t>
  </si>
  <si>
    <t>중간 크기 사과 1개 대표값</t>
  </si>
  <si>
    <t>아삭한 식감으로 가볍게 곁들일 수 있는 파프리카입니다.</t>
  </si>
  <si>
    <t>생 파프리카 1개 대표값</t>
  </si>
  <si>
    <t>식이섬유를 보완하며 먼저 먹기 좋은 삶은 브로콜리입니다.</t>
  </si>
  <si>
    <t>삶은 브로콜리 1회분, 무염 대표값</t>
  </si>
  <si>
    <t>간편하게 단백질을 보완할 수 있는 참치 통조림입니다.</t>
  </si>
  <si>
    <t>참치 통조림 1개 일반 제품 대표값</t>
  </si>
  <si>
    <t>당을 더하지 않고 단백질을 보완할 수 있는 그릭요거트입니다.</t>
  </si>
  <si>
    <t>무가당 그릭요거트 100g 대표값</t>
  </si>
  <si>
    <t>편의점에서도 쉽게 구해 단백질을 보완할 수 있는 우유입니다.</t>
  </si>
  <si>
    <t>우유 200ml 대표값</t>
  </si>
  <si>
    <t>가볍게 곁들이며 식물성 단백질을 보완할 수 있는 풋콩입니다.</t>
  </si>
  <si>
    <t>풋콩 50g, 무염 대표값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</si>
</sst>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"/>
    <numFmt numFmtId="177" formatCode="yyyy\-mm\-dd"/>
    <numFmt numFmtId="178" formatCode="0.0"/>
  </numFmts>
  <fonts count="13">
    <font>
      <sz val="11"/>
      <name val="Carlito"/>
    </font>
    <font>
      <sz val="10"/>
      <color rgb="FF1F2937"/>
      <name val="Aptos"/>
      <family val="2"/>
    </font>
    <font>
      <b/>
      <sz val="10"/>
      <color rgb="FFFFFFFF"/>
      <name val="Aptos"/>
      <family val="2"/>
    </font>
    <font>
      <sz val="11"/>
      <color rgb="FF263238"/>
      <name val="Aptos"/>
      <family val="2"/>
    </font>
    <font>
      <b/>
      <sz val="20"/>
      <color rgb="FFFFFFFF"/>
      <name val="Aptos Display"/>
      <family val="2"/>
    </font>
    <font>
      <b/>
      <sz val="11"/>
      <color rgb="FF173F5F"/>
      <name val="Aptos"/>
      <family val="2"/>
    </font>
    <font>
      <sz val="11"/>
      <name val="Carlito"/>
    </font>
    <font>
      <b/>
      <sz val="11"/>
      <color theme="1"/>
      <name val="Calibri"/>
      <family val="2"/>
    </font>
    <font>
      <sz val="8"/>
      <name val="돋움"/>
      <family val="3"/>
      <charset val="129"/>
    </font>
    <font>
      <b/>
      <sz val="11"/>
      <color rgb="FF1F2937"/>
      <name val="Carlito"/>
    </font>
    <font>
      <sz val="10"/>
      <color rgb="FF1F2937"/>
      <name val="맑은 고딕"/>
      <family val="3"/>
      <charset val="129"/>
    </font>
    <font>
      <b/>
      <sz val="11"/>
      <color rgb="FFFFFFFF"/>
      <name val="Carlito"/>
    </font>
    <font>
      <sz val="11"/>
      <color rgb="FF1F1F1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DCEAF3"/>
      </patternFill>
    </fill>
    <fill>
      <patternFill patternType="solid">
        <fgColor rgb="FFFFF4CC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D7E3DC"/>
      </left>
      <right style="medium">
        <color rgb="FFD7E3DC"/>
      </right>
      <top style="medium">
        <color rgb="FFD7E3DC"/>
      </top>
      <bottom style="medium">
        <color rgb="FFD7E3DC"/>
      </bottom>
      <diagonal/>
    </border>
    <border>
      <left style="medium">
        <color rgb="FFD7E3DC"/>
      </left>
      <right style="medium">
        <color rgb="FFD7E3DC"/>
      </right>
      <top style="medium">
        <color rgb="FFD7E3DC"/>
      </top>
      <bottom/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2" borderId="0" xfId="1" applyFont="1" applyFill="1" applyAlignment="1">
      <alignment vertical="center"/>
    </xf>
    <xf numFmtId="0" fontId="5" fillId="3" borderId="0" xfId="1" applyFont="1" applyFill="1"/>
    <xf numFmtId="0" fontId="3" fillId="0" borderId="0" xfId="1" applyFont="1" applyAlignment="1">
      <alignment wrapText="1"/>
    </xf>
    <xf numFmtId="2" fontId="1" fillId="0" borderId="0" xfId="1" applyNumberFormat="1" applyFont="1" applyAlignment="1">
      <alignment vertical="center"/>
    </xf>
    <xf numFmtId="0" fontId="1" fillId="4" borderId="0" xfId="1" applyFont="1" applyFill="1" applyAlignment="1">
      <alignment vertical="center"/>
    </xf>
    <xf numFmtId="2" fontId="1" fillId="4" borderId="0" xfId="1" applyNumberFormat="1" applyFont="1" applyFill="1" applyAlignment="1">
      <alignment vertical="center"/>
    </xf>
    <xf numFmtId="176" fontId="1" fillId="4" borderId="0" xfId="1" applyNumberFormat="1" applyFont="1" applyFill="1" applyAlignment="1">
      <alignment vertical="center"/>
    </xf>
    <xf numFmtId="1" fontId="1" fillId="4" borderId="0" xfId="1" applyNumberFormat="1" applyFont="1" applyFill="1" applyAlignment="1">
      <alignment vertical="center"/>
    </xf>
    <xf numFmtId="177" fontId="1" fillId="4" borderId="0" xfId="1" applyNumberFormat="1" applyFont="1" applyFill="1" applyAlignment="1">
      <alignment vertical="center"/>
    </xf>
    <xf numFmtId="3" fontId="1" fillId="4" borderId="0" xfId="1" applyNumberFormat="1" applyFont="1" applyFill="1" applyAlignment="1">
      <alignment vertical="center"/>
    </xf>
    <xf numFmtId="178" fontId="9" fillId="0" borderId="1" xfId="0" applyNumberFormat="1" applyFont="1" applyBorder="1" applyAlignment="1">
      <alignment horizontal="center" vertical="top" wrapText="1"/>
    </xf>
    <xf numFmtId="178" fontId="9" fillId="0" borderId="2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 vertical="top" wrapText="1"/>
    </xf>
    <xf numFmtId="0" fontId="10" fillId="0" borderId="0" xfId="1" applyFont="1" applyAlignment="1">
      <alignment vertical="center"/>
    </xf>
    <xf numFmtId="0" fontId="11" fillId="5" borderId="0" xfId="0" applyFont="1" applyFill="1" applyAlignment="1">
      <alignment vertical="center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3" fillId="0" borderId="0" xfId="0" applyFont="1" applyAlignment="1">
      <alignment wrapText="1"/>
    </xf>
    <xf numFmtId="0" fontId="12" fillId="8" borderId="0" xfId="0" applyFont="1" applyFill="1"/>
    <xf numFmtId="0" fontId="12" fillId="8" borderId="0" xfId="0" applyFont="1" applyFill="1" applyAlignment="1">
      <alignment wrapText="1"/>
    </xf>
    <xf numFmtId="0" fontId="11" fillId="9" borderId="0" xfId="0" applyFont="1" applyFill="1"/>
    <xf numFmtId="1" fontId="0" fillId="10" borderId="0" xfId="0" applyNumberFormat="1" applyFill="1"/>
    <xf numFmtId="0" fontId="0" fillId="11" borderId="0" xfId="0" applyFill="1" applyAlignment="1">
      <alignment wrapText="1"/>
    </xf>
    <xf numFmtId="0" fontId="0" fillId="10" borderId="0" xfId="0" applyFill="1" applyAlignment="1">
      <alignment wrapText="1"/>
    </xf>
    <xf numFmtId="0" fontId="4" fillId="2" borderId="0" xfId="1" applyFont="1" applyFill="1"/>
    <xf numFmtId="0" fontId="3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1336615bbe1749ef" Type="http://schemas.microsoft.com/office/2022/11/relationships/FeaturePropertyBag" Target="featurePropertyBag/featurePropertyBag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FoodsTable" displayName="FoodsTable" ref="A1:Z59" totalsRowShown="0">
  <tableColumns count="26">
    <tableColumn id="1" xr3:uid="{00000000-0010-0000-0000-000001000000}" name="id"/>
    <tableColumn id="2" xr3:uid="{00000000-0010-0000-0000-000002000000}" name="food_code"/>
    <tableColumn id="3" xr3:uid="{00000000-0010-0000-0000-000003000000}" name="name"/>
    <tableColumn id="4" xr3:uid="{00000000-0010-0000-0000-000004000000}" name="category"/>
    <tableColumn id="5" xr3:uid="{00000000-0010-0000-0000-000005000000}" name="initials"/>
    <tableColumn id="6" xr3:uid="{00000000-0010-0000-0000-000006000000}" name="serving_description"/>
    <tableColumn id="7" xr3:uid="{00000000-0010-0000-0000-000007000000}" name="serving_amount"/>
    <tableColumn id="8" xr3:uid="{00000000-0010-0000-0000-000008000000}" name="serving_unit"/>
    <tableColumn id="9" xr3:uid="{00000000-0010-0000-0000-000009000000}" name="carb_g"/>
    <tableColumn id="10" xr3:uid="{00000000-0010-0000-0000-00000A000000}" name="fiber_g"/>
    <tableColumn id="11" xr3:uid="{00000000-0010-0000-0000-00000B000000}" name="protein_g"/>
    <tableColumn id="12" xr3:uid="{00000000-0010-0000-0000-00000C000000}" name="fat_g"/>
    <tableColumn id="13" xr3:uid="{00000000-0010-0000-0000-00000D000000}" name="available_carb_g"/>
    <tableColumn id="14" xr3:uid="{00000000-0010-0000-0000-00000E000000}" name="gi"/>
    <tableColumn id="15" xr3:uid="{00000000-0010-0000-0000-00000F000000}" name="gl"/>
    <tableColumn id="16" xr3:uid="{00000000-0010-0000-0000-000010000000}" name="calorie_kcal"/>
    <tableColumn id="17" xr3:uid="{00000000-0010-0000-0000-000011000000}" name="nutrition_data_quality"/>
    <tableColumn id="18" xr3:uid="{00000000-0010-0000-0000-000012000000}" name="gi_data_quality"/>
    <tableColumn id="19" xr3:uid="{00000000-0010-0000-0000-000013000000}" name="is_active"/>
    <tableColumn id="20" xr3:uid="{00000000-0010-0000-0000-000014000000}" name="created_at"/>
    <tableColumn id="21" xr3:uid="{00000000-0010-0000-0000-000015000000}" name="updated_at"/>
    <tableColumn id="22" xr3:uid="{00000000-0010-0000-0000-000016000000}" name="image_url"/>
    <tableColumn id="23" xr3:uid="{00000000-0010-0000-0000-000017000000}" name="description"/>
    <tableColumn id="24" xr3:uid="{00000000-0010-0000-0000-000018000000}" name="sodium_mg"/>
    <tableColumn id="25" xr3:uid="{00000000-0010-0000-0000-000019000000}" name="sodium_source_url"/>
    <tableColumn id="26" xr3:uid="{00000000-0010-0000-0000-00001A000000}" name="sodium_match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H9" totalsRowShown="0">
  <tableColumns count="8">
    <tableColumn id="1" xr3:uid="{00000000-0010-0000-0100-000001000000}" name="id"/>
    <tableColumn id="2" xr3:uid="{00000000-0010-0000-0100-000002000000}" name="source_code"/>
    <tableColumn id="3" xr3:uid="{00000000-0010-0000-0100-000003000000}" name="organization"/>
    <tableColumn id="4" xr3:uid="{00000000-0010-0000-0100-000004000000}" name="title"/>
    <tableColumn id="5" xr3:uid="{00000000-0010-0000-0100-000005000000}" name="url"/>
    <tableColumn id="6" xr3:uid="{00000000-0010-0000-0100-000006000000}" name="publication_year"/>
    <tableColumn id="7" xr3:uid="{00000000-0010-0000-0100-000007000000}" name="accessed_at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odSourcesTable" displayName="FoodSourcesTable" ref="A1:E35" totalsRowShown="0">
  <tableColumns count="5">
    <tableColumn id="1" xr3:uid="{00000000-0010-0000-0200-000001000000}" name="food_code"/>
    <tableColumn id="2" xr3:uid="{00000000-0010-0000-0200-000002000000}" name="source_code"/>
    <tableColumn id="3" xr3:uid="{00000000-0010-0000-0200-000003000000}" name="source_type"/>
    <tableColumn id="4" xr3:uid="{00000000-0010-0000-0200-000004000000}" name="data_quality"/>
    <tableColumn id="5" xr3:uid="{00000000-0010-0000-0200-000005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ideMenuCatalogTable" displayName="SideMenuCatalogTable" ref="A1:U16" totalsRowShown="0">
  <tableColumns count="21">
    <tableColumn id="1" xr3:uid="{00000000-0010-0000-0300-000001000000}" name="id"/>
    <tableColumn id="2" xr3:uid="{00000000-0010-0000-0300-000002000000}" name="food_code"/>
    <tableColumn id="3" xr3:uid="{00000000-0010-0000-0300-000003000000}" name="food_name"/>
    <tableColumn id="4" xr3:uid="{00000000-0010-0000-0300-000004000000}" name="serving_description"/>
    <tableColumn id="5" xr3:uid="{00000000-0010-0000-0300-000005000000}" name="serving_amount"/>
    <tableColumn id="6" xr3:uid="{00000000-0010-0000-0300-000006000000}" name="serving_unit"/>
    <tableColumn id="7" xr3:uid="{00000000-0010-0000-0300-000007000000}" name="carb_g"/>
    <tableColumn id="8" xr3:uid="{00000000-0010-0000-0300-000008000000}" name="fiber_g"/>
    <tableColumn id="9" xr3:uid="{00000000-0010-0000-0300-000009000000}" name="protein_g"/>
    <tableColumn id="10" xr3:uid="{00000000-0010-0000-0300-00000A000000}" name="fat_g"/>
    <tableColumn id="11" xr3:uid="{00000000-0010-0000-0300-00000B000000}" name="available_carb_g"/>
    <tableColumn id="12" xr3:uid="{00000000-0010-0000-0300-00000C000000}" name="gi">
      <calculatedColumnFormula>IFERROR(INDEX(foods!$N:$N,MATCH(B2,foods!$B:$B,0)),"")</calculatedColumnFormula>
    </tableColumn>
    <tableColumn id="13" xr3:uid="{00000000-0010-0000-0300-00000D000000}" name="gl"/>
    <tableColumn id="14" xr3:uid="{00000000-0010-0000-0300-00000E000000}" name="calorie_kcal"/>
    <tableColumn id="15" xr3:uid="{00000000-0010-0000-0300-00000F000000}" name="focus_nutrient"/>
    <tableColumn id="16" xr3:uid="{00000000-0010-0000-0300-000010000000}" name="purchase_place"/>
    <tableColumn id="17" xr3:uid="{00000000-0010-0000-0300-000011000000}" name="ease_score"/>
    <tableColumn id="18" xr3:uid="{00000000-0010-0000-0300-000012000000}" name="price_min_krw"/>
    <tableColumn id="19" xr3:uid="{00000000-0010-0000-0300-000013000000}" name="price_max_krw"/>
    <tableColumn id="20" xr3:uid="{00000000-0010-0000-0300-000014000000}" name="recommendation_reason"/>
    <tableColumn id="21" xr3:uid="{00000000-0010-0000-0300-000015000000}" name="is_ac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debookTable" displayName="CodebookTable" ref="A1:F16" totalsRowShown="0">
  <tableColumns count="6">
    <tableColumn id="1" xr3:uid="{00000000-0010-0000-0400-000001000000}" name="sheet"/>
    <tableColumn id="2" xr3:uid="{00000000-0010-0000-0400-000002000000}" name="column"/>
    <tableColumn id="3" xr3:uid="{00000000-0010-0000-0400-000003000000}" name="type"/>
    <tableColumn id="4" xr3:uid="{00000000-0010-0000-0400-000004000000}" name="nullable"/>
    <tableColumn id="5" xr3:uid="{00000000-0010-0000-0400-000005000000}" name="description"/>
    <tableColumn id="6" xr3:uid="{00000000-0010-0000-0400-000006000000}" name="allowed_values / 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opLeftCell="A11" workbookViewId="0">
      <selection sqref="A1:B1"/>
    </sheetView>
  </sheetViews>
  <sheetFormatPr defaultRowHeight="13.8"/>
  <cols>
    <col min="1" max="1" width="17.19921875" customWidth="1"/>
    <col min="2" max="2" width="255" customWidth="1"/>
  </cols>
  <sheetData>
    <row r="1" spans="1:2" ht="26.85" customHeight="1">
      <c r="A1" s="28" t="s">
        <v>0</v>
      </c>
      <c r="B1" s="29"/>
    </row>
    <row r="2" spans="1:2" ht="21.75" customHeight="1">
      <c r="A2" s="4" t="s">
        <v>1</v>
      </c>
      <c r="B2" s="5" t="s">
        <v>2</v>
      </c>
    </row>
    <row r="3" spans="1:2" ht="21.75" customHeight="1">
      <c r="A3" s="4" t="s">
        <v>3</v>
      </c>
      <c r="B3" s="5" t="s">
        <v>4</v>
      </c>
    </row>
    <row r="4" spans="1:2" ht="21.75" customHeight="1">
      <c r="A4" s="4" t="s">
        <v>5</v>
      </c>
      <c r="B4" s="5" t="s">
        <v>6</v>
      </c>
    </row>
    <row r="5" spans="1:2" ht="21.75" customHeight="1">
      <c r="A5" s="4" t="s">
        <v>7</v>
      </c>
      <c r="B5" s="5" t="s">
        <v>8</v>
      </c>
    </row>
    <row r="6" spans="1:2" ht="21.75" customHeight="1">
      <c r="A6" s="4" t="s">
        <v>9</v>
      </c>
      <c r="B6" s="5" t="s">
        <v>10</v>
      </c>
    </row>
    <row r="7" spans="1:2" ht="21.75" customHeight="1">
      <c r="A7" s="4" t="s">
        <v>11</v>
      </c>
      <c r="B7" s="5" t="s">
        <v>12</v>
      </c>
    </row>
    <row r="8" spans="1:2" ht="21.75" customHeight="1">
      <c r="A8" s="4" t="s">
        <v>13</v>
      </c>
      <c r="B8" s="5" t="s">
        <v>14</v>
      </c>
    </row>
    <row r="9" spans="1:2" ht="21.75" customHeight="1">
      <c r="A9" s="4" t="s">
        <v>15</v>
      </c>
      <c r="B9" s="5" t="s">
        <v>16</v>
      </c>
    </row>
    <row r="10" spans="1:2" ht="28.8" customHeight="1">
      <c r="A10" s="4" t="s">
        <v>360</v>
      </c>
      <c r="B10" s="21" t="s">
        <v>361</v>
      </c>
    </row>
    <row r="11" spans="1:2" ht="28.8" customHeight="1">
      <c r="A11" s="22" t="s">
        <v>362</v>
      </c>
      <c r="B11" s="23" t="s">
        <v>363</v>
      </c>
    </row>
    <row r="12" spans="1:2" ht="38.4" customHeight="1">
      <c r="A12" s="27" t="s">
        <v>364</v>
      </c>
      <c r="B12" s="27" t="s">
        <v>365</v>
      </c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9"/>
  <sheetViews>
    <sheetView tabSelected="1" topLeftCell="A33" workbookViewId="0">
      <selection activeCell="E45" sqref="E45"/>
    </sheetView>
  </sheetViews>
  <sheetFormatPr defaultRowHeight="13.8"/>
  <cols>
    <col min="1" max="1" width="2.8984375" customWidth="1"/>
    <col min="2" max="2" width="17.296875" customWidth="1"/>
    <col min="3" max="3" width="15.796875" customWidth="1"/>
    <col min="4" max="4" width="8.69921875" customWidth="1"/>
    <col min="5" max="5" width="11.19921875" customWidth="1"/>
    <col min="6" max="6" width="40.69921875" customWidth="1"/>
    <col min="7" max="7" width="14.09765625" customWidth="1"/>
    <col min="8" max="8" width="11" customWidth="1"/>
    <col min="9" max="9" width="6.5" customWidth="1"/>
    <col min="10" max="10" width="6.69921875" customWidth="1"/>
    <col min="11" max="11" width="8.69921875" customWidth="1"/>
    <col min="12" max="12" width="5.5" customWidth="1"/>
    <col min="13" max="13" width="14.59765625" customWidth="1"/>
    <col min="14" max="15" width="5.5" customWidth="1"/>
    <col min="16" max="16" width="10.796875" customWidth="1"/>
    <col min="17" max="17" width="19.19921875" customWidth="1"/>
    <col min="18" max="18" width="16.59765625" customWidth="1"/>
    <col min="19" max="19" width="8.19921875" customWidth="1"/>
    <col min="20" max="20" width="9.5" customWidth="1"/>
    <col min="21" max="21" width="10.09765625" customWidth="1"/>
    <col min="22" max="22" width="34" customWidth="1"/>
    <col min="23" max="23" width="48" customWidth="1"/>
    <col min="24" max="24" width="14" customWidth="1"/>
    <col min="25" max="25" width="38" customWidth="1"/>
    <col min="26" max="26" width="44" customWidth="1"/>
  </cols>
  <sheetData>
    <row r="1" spans="1:26" ht="19.2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18" t="s">
        <v>366</v>
      </c>
      <c r="W1" s="18" t="s">
        <v>314</v>
      </c>
      <c r="X1" s="18" t="s">
        <v>367</v>
      </c>
      <c r="Y1" s="24" t="s">
        <v>368</v>
      </c>
      <c r="Z1" s="24" t="s">
        <v>369</v>
      </c>
    </row>
    <row r="2" spans="1:26" ht="13.95" customHeight="1">
      <c r="A2" s="7"/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8">
        <v>230</v>
      </c>
      <c r="H2" s="8" t="s">
        <v>43</v>
      </c>
      <c r="I2" s="8">
        <v>71.099999999999994</v>
      </c>
      <c r="J2" s="8">
        <v>5</v>
      </c>
      <c r="K2" s="8">
        <v>10.3</v>
      </c>
      <c r="L2" s="8">
        <v>8.5</v>
      </c>
      <c r="M2" s="6">
        <f t="shared" ref="M2:M33" si="0">IF(OR(I2="",J2=""),"",MAX(I2-J2,0))</f>
        <v>66.099999999999994</v>
      </c>
      <c r="N2" s="13">
        <v>90</v>
      </c>
      <c r="O2" s="6">
        <f t="shared" ref="O2:O33" si="1">IF(OR(M2="",N2=""),"",M2*N2/100)</f>
        <v>59.489999999999988</v>
      </c>
      <c r="P2" s="8">
        <v>322</v>
      </c>
      <c r="Q2" s="17" t="s">
        <v>44</v>
      </c>
      <c r="R2" s="1" t="s">
        <v>45</v>
      </c>
      <c r="S2" s="2" t="b">
        <v>1</v>
      </c>
      <c r="T2" s="9"/>
      <c r="U2" s="9"/>
      <c r="V2" s="19"/>
      <c r="W2" s="20" t="s">
        <v>370</v>
      </c>
      <c r="X2" s="25">
        <v>706</v>
      </c>
      <c r="Y2" s="26" t="s">
        <v>371</v>
      </c>
      <c r="Z2" s="26" t="s">
        <v>372</v>
      </c>
    </row>
    <row r="3" spans="1:26" ht="13.95" customHeight="1">
      <c r="A3" s="7"/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8">
        <v>200</v>
      </c>
      <c r="H3" s="8" t="s">
        <v>43</v>
      </c>
      <c r="I3" s="8">
        <v>47.3</v>
      </c>
      <c r="J3" s="8">
        <v>2.5</v>
      </c>
      <c r="K3" s="8">
        <v>6.3</v>
      </c>
      <c r="L3" s="8">
        <v>3.8</v>
      </c>
      <c r="M3" s="6">
        <f t="shared" si="0"/>
        <v>44.8</v>
      </c>
      <c r="N3" s="13">
        <v>95</v>
      </c>
      <c r="O3" s="6">
        <f t="shared" si="1"/>
        <v>42.56</v>
      </c>
      <c r="P3" s="8">
        <v>288</v>
      </c>
      <c r="Q3" s="17" t="s">
        <v>44</v>
      </c>
      <c r="R3" s="1" t="s">
        <v>51</v>
      </c>
      <c r="S3" s="2" t="b">
        <v>1</v>
      </c>
      <c r="T3" s="9"/>
      <c r="U3" s="9"/>
      <c r="V3" s="19"/>
      <c r="W3" s="20" t="s">
        <v>373</v>
      </c>
      <c r="X3" s="25">
        <v>853</v>
      </c>
      <c r="Y3" s="26" t="s">
        <v>371</v>
      </c>
      <c r="Z3" s="26" t="s">
        <v>374</v>
      </c>
    </row>
    <row r="4" spans="1:26" ht="13.95" customHeight="1">
      <c r="A4" s="7"/>
      <c r="B4" s="1" t="s">
        <v>52</v>
      </c>
      <c r="C4" s="1" t="s">
        <v>53</v>
      </c>
      <c r="D4" s="1" t="s">
        <v>40</v>
      </c>
      <c r="E4" s="1" t="s">
        <v>54</v>
      </c>
      <c r="F4" s="1" t="s">
        <v>55</v>
      </c>
      <c r="G4" s="8">
        <v>500</v>
      </c>
      <c r="H4" s="8" t="s">
        <v>43</v>
      </c>
      <c r="I4" s="8">
        <v>94.2</v>
      </c>
      <c r="J4" s="8">
        <v>10.199999999999999</v>
      </c>
      <c r="K4" s="8">
        <v>34.299999999999997</v>
      </c>
      <c r="L4" s="8">
        <v>21.6</v>
      </c>
      <c r="M4" s="6">
        <f t="shared" si="0"/>
        <v>84</v>
      </c>
      <c r="N4" s="13">
        <v>63.7</v>
      </c>
      <c r="O4" s="6">
        <f t="shared" si="1"/>
        <v>53.508000000000003</v>
      </c>
      <c r="P4" s="8">
        <v>710</v>
      </c>
      <c r="Q4" s="17" t="s">
        <v>44</v>
      </c>
      <c r="R4" s="1" t="s">
        <v>45</v>
      </c>
      <c r="S4" s="2" t="b">
        <v>1</v>
      </c>
      <c r="T4" s="9"/>
      <c r="U4" s="9"/>
      <c r="V4" s="19"/>
      <c r="W4" s="20" t="s">
        <v>375</v>
      </c>
      <c r="X4" s="25">
        <v>1329</v>
      </c>
      <c r="Y4" s="26" t="s">
        <v>371</v>
      </c>
      <c r="Z4" s="26" t="s">
        <v>376</v>
      </c>
    </row>
    <row r="5" spans="1:26" ht="13.95" customHeight="1">
      <c r="A5" s="7"/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8">
        <v>100</v>
      </c>
      <c r="H5" s="8" t="s">
        <v>43</v>
      </c>
      <c r="I5" s="8">
        <v>6</v>
      </c>
      <c r="J5" s="8">
        <v>4</v>
      </c>
      <c r="K5" s="8">
        <v>11</v>
      </c>
      <c r="L5" s="8">
        <v>11</v>
      </c>
      <c r="M5" s="6">
        <f t="shared" si="0"/>
        <v>2</v>
      </c>
      <c r="N5" s="13">
        <v>40</v>
      </c>
      <c r="O5" s="6">
        <f t="shared" si="1"/>
        <v>0.8</v>
      </c>
      <c r="P5" s="8">
        <v>170</v>
      </c>
      <c r="Q5" s="17" t="s">
        <v>44</v>
      </c>
      <c r="R5" s="1" t="s">
        <v>45</v>
      </c>
      <c r="S5" s="2" t="b">
        <v>1</v>
      </c>
      <c r="T5" s="9"/>
      <c r="U5" s="9"/>
      <c r="V5" s="19"/>
      <c r="W5" s="20" t="s">
        <v>377</v>
      </c>
      <c r="X5" s="25">
        <v>450</v>
      </c>
      <c r="Y5" s="26" t="s">
        <v>371</v>
      </c>
      <c r="Z5" s="26" t="s">
        <v>378</v>
      </c>
    </row>
    <row r="6" spans="1:26" ht="13.95" customHeight="1">
      <c r="A6" s="7"/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8">
        <v>200</v>
      </c>
      <c r="H6" s="8" t="s">
        <v>43</v>
      </c>
      <c r="I6" s="8">
        <v>34</v>
      </c>
      <c r="J6" s="8">
        <v>0.8</v>
      </c>
      <c r="K6" s="8">
        <v>28</v>
      </c>
      <c r="L6" s="8">
        <v>28</v>
      </c>
      <c r="M6" s="6">
        <f t="shared" si="0"/>
        <v>33.200000000000003</v>
      </c>
      <c r="N6" s="14">
        <v>58</v>
      </c>
      <c r="O6" s="6">
        <f t="shared" si="1"/>
        <v>19.256</v>
      </c>
      <c r="P6" s="8">
        <v>500</v>
      </c>
      <c r="Q6" s="17" t="s">
        <v>44</v>
      </c>
      <c r="R6" s="1" t="s">
        <v>45</v>
      </c>
      <c r="S6" s="2" t="b">
        <v>1</v>
      </c>
      <c r="T6" s="9"/>
      <c r="U6" s="9"/>
      <c r="V6" s="19"/>
      <c r="W6" s="20" t="s">
        <v>379</v>
      </c>
      <c r="X6" s="25">
        <v>1140</v>
      </c>
      <c r="Y6" s="26" t="s">
        <v>371</v>
      </c>
      <c r="Z6" s="26" t="s">
        <v>380</v>
      </c>
    </row>
    <row r="7" spans="1:26" ht="13.95" customHeight="1">
      <c r="A7" s="7"/>
      <c r="B7" s="1" t="s">
        <v>66</v>
      </c>
      <c r="C7" s="1" t="s">
        <v>67</v>
      </c>
      <c r="D7" s="1" t="s">
        <v>40</v>
      </c>
      <c r="E7" s="1" t="s">
        <v>68</v>
      </c>
      <c r="F7" s="1" t="s">
        <v>69</v>
      </c>
      <c r="G7" s="8">
        <v>210</v>
      </c>
      <c r="H7" s="8" t="s">
        <v>43</v>
      </c>
      <c r="I7" s="8">
        <v>78.39</v>
      </c>
      <c r="J7" s="8">
        <v>0.21</v>
      </c>
      <c r="K7" s="8">
        <v>7.06</v>
      </c>
      <c r="L7" s="8">
        <v>0.67</v>
      </c>
      <c r="M7" s="6">
        <f t="shared" si="0"/>
        <v>78.180000000000007</v>
      </c>
      <c r="N7" s="13">
        <v>70</v>
      </c>
      <c r="O7" s="6">
        <f t="shared" si="1"/>
        <v>54.726000000000006</v>
      </c>
      <c r="P7" s="8">
        <v>348.6</v>
      </c>
      <c r="Q7" s="17" t="s">
        <v>44</v>
      </c>
      <c r="R7" s="1" t="s">
        <v>45</v>
      </c>
      <c r="S7" s="2" t="b">
        <v>1</v>
      </c>
      <c r="T7" s="9"/>
      <c r="U7" s="9"/>
      <c r="V7" s="19"/>
      <c r="W7" s="20" t="s">
        <v>381</v>
      </c>
      <c r="X7" s="25">
        <v>2</v>
      </c>
      <c r="Y7" s="26" t="s">
        <v>371</v>
      </c>
      <c r="Z7" s="26" t="s">
        <v>382</v>
      </c>
    </row>
    <row r="8" spans="1:26" ht="13.95" customHeight="1">
      <c r="A8" s="7"/>
      <c r="B8" s="1" t="s">
        <v>70</v>
      </c>
      <c r="C8" s="1" t="s">
        <v>71</v>
      </c>
      <c r="D8" s="1" t="s">
        <v>40</v>
      </c>
      <c r="E8" s="1" t="s">
        <v>72</v>
      </c>
      <c r="F8" s="1" t="s">
        <v>69</v>
      </c>
      <c r="G8" s="8">
        <v>210</v>
      </c>
      <c r="H8" s="8" t="s">
        <v>43</v>
      </c>
      <c r="I8" s="8">
        <v>61</v>
      </c>
      <c r="J8" s="8">
        <v>12.8</v>
      </c>
      <c r="K8" s="8">
        <v>11.1</v>
      </c>
      <c r="L8" s="8">
        <v>1.8</v>
      </c>
      <c r="M8" s="6">
        <f t="shared" si="0"/>
        <v>48.2</v>
      </c>
      <c r="N8" s="13">
        <v>72</v>
      </c>
      <c r="O8" s="6">
        <f t="shared" si="1"/>
        <v>34.704000000000001</v>
      </c>
      <c r="P8" s="8">
        <v>306.60000000000002</v>
      </c>
      <c r="Q8" s="17" t="s">
        <v>44</v>
      </c>
      <c r="R8" s="1" t="s">
        <v>73</v>
      </c>
      <c r="S8" s="2" t="b">
        <v>1</v>
      </c>
      <c r="T8" s="9"/>
      <c r="U8" s="9"/>
      <c r="V8" s="19"/>
      <c r="W8" s="20" t="s">
        <v>383</v>
      </c>
      <c r="X8" s="25">
        <v>5</v>
      </c>
      <c r="Y8" s="26" t="s">
        <v>371</v>
      </c>
      <c r="Z8" s="26" t="s">
        <v>384</v>
      </c>
    </row>
    <row r="9" spans="1:26" ht="13.95" customHeight="1">
      <c r="A9" s="7"/>
      <c r="B9" s="1" t="s">
        <v>74</v>
      </c>
      <c r="C9" s="1" t="s">
        <v>75</v>
      </c>
      <c r="D9" s="1" t="s">
        <v>40</v>
      </c>
      <c r="E9" s="1" t="s">
        <v>76</v>
      </c>
      <c r="F9" s="1" t="s">
        <v>77</v>
      </c>
      <c r="G9" s="8">
        <v>300</v>
      </c>
      <c r="H9" s="8" t="s">
        <v>43</v>
      </c>
      <c r="I9" s="8">
        <v>72.7</v>
      </c>
      <c r="J9" s="8">
        <v>3.5</v>
      </c>
      <c r="K9" s="8">
        <v>19.899999999999999</v>
      </c>
      <c r="L9" s="8">
        <v>33.799999999999997</v>
      </c>
      <c r="M9" s="6">
        <f t="shared" si="0"/>
        <v>69.2</v>
      </c>
      <c r="N9" s="13">
        <v>80</v>
      </c>
      <c r="O9" s="6">
        <f t="shared" si="1"/>
        <v>55.36</v>
      </c>
      <c r="P9" s="8">
        <v>674.8</v>
      </c>
      <c r="Q9" s="17" t="s">
        <v>44</v>
      </c>
      <c r="R9" s="1" t="s">
        <v>73</v>
      </c>
      <c r="S9" s="2" t="b">
        <v>1</v>
      </c>
      <c r="T9" s="9"/>
      <c r="U9" s="9"/>
      <c r="V9" s="19"/>
      <c r="W9" s="20" t="s">
        <v>385</v>
      </c>
      <c r="X9" s="25">
        <v>1130</v>
      </c>
      <c r="Y9" s="26" t="s">
        <v>371</v>
      </c>
      <c r="Z9" s="26" t="s">
        <v>386</v>
      </c>
    </row>
    <row r="10" spans="1:26" ht="13.95" customHeight="1">
      <c r="A10" s="7"/>
      <c r="B10" s="1" t="s">
        <v>78</v>
      </c>
      <c r="C10" s="1" t="s">
        <v>79</v>
      </c>
      <c r="D10" s="1" t="s">
        <v>40</v>
      </c>
      <c r="E10" s="1" t="s">
        <v>80</v>
      </c>
      <c r="F10" s="1" t="s">
        <v>81</v>
      </c>
      <c r="G10" s="8">
        <v>450</v>
      </c>
      <c r="H10" s="8" t="s">
        <v>43</v>
      </c>
      <c r="I10" s="8">
        <v>93.3</v>
      </c>
      <c r="J10" s="8">
        <v>2.2999999999999998</v>
      </c>
      <c r="K10" s="8">
        <v>14</v>
      </c>
      <c r="L10" s="8">
        <v>6.3</v>
      </c>
      <c r="M10" s="6">
        <f t="shared" si="0"/>
        <v>91</v>
      </c>
      <c r="N10" s="13">
        <v>80</v>
      </c>
      <c r="O10" s="6">
        <f t="shared" si="1"/>
        <v>72.8</v>
      </c>
      <c r="P10" s="8">
        <v>486</v>
      </c>
      <c r="Q10" s="17" t="s">
        <v>44</v>
      </c>
      <c r="R10" s="1" t="s">
        <v>73</v>
      </c>
      <c r="S10" s="2" t="b">
        <v>1</v>
      </c>
      <c r="T10" s="9"/>
      <c r="U10" s="9"/>
      <c r="V10" s="19"/>
      <c r="W10" s="20" t="s">
        <v>387</v>
      </c>
      <c r="X10" s="25">
        <v>1260</v>
      </c>
      <c r="Y10" s="26" t="s">
        <v>371</v>
      </c>
      <c r="Z10" s="26" t="s">
        <v>388</v>
      </c>
    </row>
    <row r="11" spans="1:26" ht="13.95" customHeight="1">
      <c r="A11" s="7"/>
      <c r="B11" s="1" t="s">
        <v>82</v>
      </c>
      <c r="C11" s="1" t="s">
        <v>83</v>
      </c>
      <c r="D11" s="1" t="s">
        <v>40</v>
      </c>
      <c r="E11" s="1" t="s">
        <v>84</v>
      </c>
      <c r="F11" s="1" t="s">
        <v>81</v>
      </c>
      <c r="G11" s="8">
        <v>450</v>
      </c>
      <c r="H11" s="8" t="s">
        <v>43</v>
      </c>
      <c r="I11" s="8">
        <v>106.5</v>
      </c>
      <c r="J11" s="8">
        <v>5</v>
      </c>
      <c r="K11" s="8">
        <v>31.8</v>
      </c>
      <c r="L11" s="8">
        <v>18.7</v>
      </c>
      <c r="M11" s="6">
        <f t="shared" si="0"/>
        <v>101.5</v>
      </c>
      <c r="N11" s="13">
        <v>80</v>
      </c>
      <c r="O11" s="6">
        <f t="shared" si="1"/>
        <v>81.2</v>
      </c>
      <c r="P11" s="8">
        <v>721.3</v>
      </c>
      <c r="Q11" s="17" t="s">
        <v>44</v>
      </c>
      <c r="R11" s="1" t="s">
        <v>73</v>
      </c>
      <c r="S11" s="2" t="b">
        <v>1</v>
      </c>
      <c r="T11" s="9"/>
      <c r="U11" s="9"/>
      <c r="V11" s="19"/>
      <c r="W11" s="20" t="s">
        <v>389</v>
      </c>
      <c r="X11" s="25">
        <v>1650</v>
      </c>
      <c r="Y11" s="26" t="s">
        <v>371</v>
      </c>
      <c r="Z11" s="26" t="s">
        <v>390</v>
      </c>
    </row>
    <row r="12" spans="1:26" ht="13.95" customHeight="1">
      <c r="A12" s="7"/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8">
        <v>300</v>
      </c>
      <c r="H12" s="8" t="s">
        <v>43</v>
      </c>
      <c r="I12" s="8">
        <v>8.9</v>
      </c>
      <c r="J12" s="8">
        <v>6.3</v>
      </c>
      <c r="K12" s="8">
        <v>11.3</v>
      </c>
      <c r="L12" s="8">
        <v>11.3</v>
      </c>
      <c r="M12" s="6">
        <f t="shared" si="0"/>
        <v>2.6000000000000005</v>
      </c>
      <c r="N12" s="13">
        <v>0</v>
      </c>
      <c r="O12" s="6">
        <f t="shared" si="1"/>
        <v>0</v>
      </c>
      <c r="P12" s="8">
        <v>182.2</v>
      </c>
      <c r="Q12" s="17" t="s">
        <v>44</v>
      </c>
      <c r="R12" s="1" t="s">
        <v>51</v>
      </c>
      <c r="S12" s="2" t="b">
        <v>1</v>
      </c>
      <c r="T12" s="9"/>
      <c r="U12" s="9"/>
      <c r="V12" s="19"/>
      <c r="W12" s="20" t="s">
        <v>391</v>
      </c>
      <c r="X12" s="25">
        <v>1400</v>
      </c>
      <c r="Y12" s="26" t="s">
        <v>371</v>
      </c>
      <c r="Z12" s="26" t="s">
        <v>392</v>
      </c>
    </row>
    <row r="13" spans="1:26" ht="13.95" customHeight="1">
      <c r="A13" s="7"/>
      <c r="B13" s="1" t="s">
        <v>90</v>
      </c>
      <c r="C13" s="1" t="s">
        <v>91</v>
      </c>
      <c r="D13" s="1" t="s">
        <v>87</v>
      </c>
      <c r="E13" s="1" t="s">
        <v>92</v>
      </c>
      <c r="F13" s="1" t="s">
        <v>89</v>
      </c>
      <c r="G13" s="8">
        <v>300</v>
      </c>
      <c r="H13" s="8" t="s">
        <v>43</v>
      </c>
      <c r="I13" s="8">
        <v>13.3</v>
      </c>
      <c r="J13" s="8">
        <v>4.8</v>
      </c>
      <c r="K13" s="8">
        <v>10.1</v>
      </c>
      <c r="L13" s="8">
        <v>4.9000000000000004</v>
      </c>
      <c r="M13" s="6">
        <f t="shared" si="0"/>
        <v>8.5</v>
      </c>
      <c r="N13" s="13">
        <v>0</v>
      </c>
      <c r="O13" s="6">
        <f t="shared" si="1"/>
        <v>0</v>
      </c>
      <c r="P13" s="8">
        <v>137.80000000000001</v>
      </c>
      <c r="Q13" s="17" t="s">
        <v>44</v>
      </c>
      <c r="R13" s="1" t="s">
        <v>51</v>
      </c>
      <c r="S13" s="2" t="b">
        <v>1</v>
      </c>
      <c r="T13" s="9"/>
      <c r="U13" s="9"/>
      <c r="V13" s="19"/>
      <c r="W13" s="20" t="s">
        <v>393</v>
      </c>
      <c r="X13" s="25">
        <v>1600</v>
      </c>
      <c r="Y13" s="26" t="s">
        <v>371</v>
      </c>
      <c r="Z13" s="26" t="s">
        <v>394</v>
      </c>
    </row>
    <row r="14" spans="1:26" ht="13.95" customHeight="1">
      <c r="A14" s="7"/>
      <c r="B14" s="1" t="s">
        <v>93</v>
      </c>
      <c r="C14" s="1" t="s">
        <v>94</v>
      </c>
      <c r="D14" s="1" t="s">
        <v>87</v>
      </c>
      <c r="E14" s="1" t="s">
        <v>95</v>
      </c>
      <c r="F14" s="1" t="s">
        <v>96</v>
      </c>
      <c r="G14" s="8">
        <v>350</v>
      </c>
      <c r="H14" s="8" t="s">
        <v>43</v>
      </c>
      <c r="I14" s="8">
        <v>16.8</v>
      </c>
      <c r="J14" s="8">
        <v>3</v>
      </c>
      <c r="K14" s="8">
        <v>18.899999999999999</v>
      </c>
      <c r="L14" s="8">
        <v>9.1</v>
      </c>
      <c r="M14" s="6">
        <f t="shared" si="0"/>
        <v>13.8</v>
      </c>
      <c r="N14" s="13">
        <v>0</v>
      </c>
      <c r="O14" s="6">
        <f t="shared" si="1"/>
        <v>0</v>
      </c>
      <c r="P14" s="8">
        <v>224.7</v>
      </c>
      <c r="Q14" s="17" t="s">
        <v>44</v>
      </c>
      <c r="R14" s="1" t="s">
        <v>51</v>
      </c>
      <c r="S14" s="2" t="b">
        <v>1</v>
      </c>
      <c r="T14" s="9"/>
      <c r="U14" s="9"/>
      <c r="V14" s="19"/>
      <c r="W14" s="20" t="s">
        <v>395</v>
      </c>
      <c r="X14" s="25">
        <v>1350</v>
      </c>
      <c r="Y14" s="26" t="s">
        <v>371</v>
      </c>
      <c r="Z14" s="26" t="s">
        <v>396</v>
      </c>
    </row>
    <row r="15" spans="1:26" ht="13.95" customHeight="1">
      <c r="A15" s="7"/>
      <c r="B15" s="1" t="s">
        <v>97</v>
      </c>
      <c r="C15" s="1" t="s">
        <v>98</v>
      </c>
      <c r="D15" s="1" t="s">
        <v>87</v>
      </c>
      <c r="E15" s="1" t="s">
        <v>99</v>
      </c>
      <c r="F15" s="1" t="s">
        <v>100</v>
      </c>
      <c r="G15" s="8">
        <v>300</v>
      </c>
      <c r="H15" s="8" t="s">
        <v>43</v>
      </c>
      <c r="I15" s="8">
        <v>2.6</v>
      </c>
      <c r="J15" s="8">
        <v>1.2</v>
      </c>
      <c r="K15" s="8">
        <v>2</v>
      </c>
      <c r="L15" s="8">
        <v>1.8</v>
      </c>
      <c r="M15" s="6">
        <f t="shared" si="0"/>
        <v>1.4000000000000001</v>
      </c>
      <c r="N15" s="13">
        <v>0</v>
      </c>
      <c r="O15" s="6">
        <f t="shared" si="1"/>
        <v>0</v>
      </c>
      <c r="P15" s="8">
        <v>34.700000000000003</v>
      </c>
      <c r="Q15" s="17" t="s">
        <v>44</v>
      </c>
      <c r="R15" s="1" t="s">
        <v>51</v>
      </c>
      <c r="S15" s="2" t="b">
        <v>1</v>
      </c>
      <c r="T15" s="9"/>
      <c r="U15" s="9"/>
      <c r="V15" s="19"/>
      <c r="W15" s="20" t="s">
        <v>397</v>
      </c>
      <c r="X15" s="25">
        <v>900</v>
      </c>
      <c r="Y15" s="26" t="s">
        <v>371</v>
      </c>
      <c r="Z15" s="26" t="s">
        <v>398</v>
      </c>
    </row>
    <row r="16" spans="1:26" ht="13.95" customHeight="1">
      <c r="A16" s="7"/>
      <c r="B16" s="1" t="s">
        <v>101</v>
      </c>
      <c r="C16" s="1" t="s">
        <v>102</v>
      </c>
      <c r="D16" s="1" t="s">
        <v>87</v>
      </c>
      <c r="E16" s="1" t="s">
        <v>103</v>
      </c>
      <c r="F16" s="1" t="s">
        <v>104</v>
      </c>
      <c r="G16" s="8">
        <v>500</v>
      </c>
      <c r="H16" s="8" t="s">
        <v>43</v>
      </c>
      <c r="I16" s="8">
        <v>1.8</v>
      </c>
      <c r="J16" s="8">
        <v>5</v>
      </c>
      <c r="K16" s="8">
        <v>21.3</v>
      </c>
      <c r="L16" s="8">
        <v>2.9</v>
      </c>
      <c r="M16" s="6">
        <f t="shared" si="0"/>
        <v>0</v>
      </c>
      <c r="N16" s="13">
        <v>0</v>
      </c>
      <c r="O16" s="6">
        <f t="shared" si="1"/>
        <v>0</v>
      </c>
      <c r="P16" s="8">
        <v>118.5</v>
      </c>
      <c r="Q16" s="17" t="s">
        <v>44</v>
      </c>
      <c r="R16" s="1" t="s">
        <v>51</v>
      </c>
      <c r="S16" s="2" t="b">
        <v>1</v>
      </c>
      <c r="T16" s="9"/>
      <c r="U16" s="9"/>
      <c r="V16" s="19"/>
      <c r="W16" s="20" t="s">
        <v>399</v>
      </c>
      <c r="X16" s="25">
        <v>1100</v>
      </c>
      <c r="Y16" s="26" t="s">
        <v>371</v>
      </c>
      <c r="Z16" s="26" t="s">
        <v>400</v>
      </c>
    </row>
    <row r="17" spans="1:26" ht="13.95" customHeight="1">
      <c r="A17" s="7"/>
      <c r="B17" s="1" t="s">
        <v>105</v>
      </c>
      <c r="C17" s="1" t="s">
        <v>106</v>
      </c>
      <c r="D17" s="1" t="s">
        <v>87</v>
      </c>
      <c r="E17" s="1" t="s">
        <v>107</v>
      </c>
      <c r="F17" s="1" t="s">
        <v>108</v>
      </c>
      <c r="G17" s="8">
        <v>800</v>
      </c>
      <c r="H17" s="8" t="s">
        <v>43</v>
      </c>
      <c r="I17" s="8">
        <v>30.7</v>
      </c>
      <c r="J17" s="8">
        <v>12.8</v>
      </c>
      <c r="K17" s="8">
        <v>85.4</v>
      </c>
      <c r="L17" s="8">
        <v>38.4</v>
      </c>
      <c r="M17" s="6">
        <f t="shared" si="0"/>
        <v>17.899999999999999</v>
      </c>
      <c r="N17" s="13">
        <v>86</v>
      </c>
      <c r="O17" s="6">
        <f t="shared" si="1"/>
        <v>15.393999999999998</v>
      </c>
      <c r="P17" s="8">
        <v>810.2</v>
      </c>
      <c r="Q17" s="17" t="s">
        <v>44</v>
      </c>
      <c r="R17" s="1" t="s">
        <v>73</v>
      </c>
      <c r="S17" s="2" t="b">
        <v>1</v>
      </c>
      <c r="T17" s="9"/>
      <c r="U17" s="9"/>
      <c r="V17" s="19"/>
      <c r="W17" s="20" t="s">
        <v>401</v>
      </c>
      <c r="X17" s="25">
        <v>1300</v>
      </c>
      <c r="Y17" s="26" t="s">
        <v>371</v>
      </c>
      <c r="Z17" s="26" t="s">
        <v>402</v>
      </c>
    </row>
    <row r="18" spans="1:26" ht="13.95" customHeight="1">
      <c r="A18" s="7"/>
      <c r="B18" s="1" t="s">
        <v>109</v>
      </c>
      <c r="C18" s="1" t="s">
        <v>110</v>
      </c>
      <c r="D18" s="1" t="s">
        <v>63</v>
      </c>
      <c r="E18" s="1" t="s">
        <v>111</v>
      </c>
      <c r="F18" s="1" t="s">
        <v>112</v>
      </c>
      <c r="G18" s="8">
        <v>200</v>
      </c>
      <c r="H18" s="8" t="s">
        <v>43</v>
      </c>
      <c r="I18" s="8">
        <v>8.5</v>
      </c>
      <c r="J18" s="8">
        <v>7</v>
      </c>
      <c r="K18" s="8">
        <v>32.799999999999997</v>
      </c>
      <c r="L18" s="8">
        <v>19.3</v>
      </c>
      <c r="M18" s="6">
        <f t="shared" si="0"/>
        <v>1.5</v>
      </c>
      <c r="N18" s="13">
        <v>65</v>
      </c>
      <c r="O18" s="6">
        <f t="shared" si="1"/>
        <v>0.97499999999999998</v>
      </c>
      <c r="P18" s="8">
        <v>339.2</v>
      </c>
      <c r="Q18" s="17" t="s">
        <v>44</v>
      </c>
      <c r="R18" s="1" t="s">
        <v>73</v>
      </c>
      <c r="S18" s="2" t="b">
        <v>1</v>
      </c>
      <c r="T18" s="9"/>
      <c r="U18" s="9"/>
      <c r="V18" s="19"/>
      <c r="W18" s="20" t="s">
        <v>403</v>
      </c>
      <c r="X18" s="25">
        <v>900</v>
      </c>
      <c r="Y18" s="26" t="s">
        <v>371</v>
      </c>
      <c r="Z18" s="26" t="s">
        <v>404</v>
      </c>
    </row>
    <row r="19" spans="1:26" ht="13.95" customHeight="1">
      <c r="A19" s="7"/>
      <c r="B19" s="1" t="s">
        <v>113</v>
      </c>
      <c r="C19" s="1" t="s">
        <v>114</v>
      </c>
      <c r="D19" s="1" t="s">
        <v>63</v>
      </c>
      <c r="E19" s="1" t="s">
        <v>115</v>
      </c>
      <c r="F19" s="1" t="s">
        <v>112</v>
      </c>
      <c r="G19" s="8">
        <v>200</v>
      </c>
      <c r="H19" s="8" t="s">
        <v>43</v>
      </c>
      <c r="I19" s="8">
        <v>11.46</v>
      </c>
      <c r="J19" s="8">
        <v>1.6</v>
      </c>
      <c r="K19" s="8">
        <v>24.4</v>
      </c>
      <c r="L19" s="8">
        <v>16.78</v>
      </c>
      <c r="M19" s="6">
        <f t="shared" si="0"/>
        <v>9.8600000000000012</v>
      </c>
      <c r="N19" s="13">
        <v>0</v>
      </c>
      <c r="O19" s="6">
        <f t="shared" si="1"/>
        <v>0</v>
      </c>
      <c r="P19" s="8">
        <v>302</v>
      </c>
      <c r="Q19" s="17" t="s">
        <v>44</v>
      </c>
      <c r="R19" s="1" t="s">
        <v>51</v>
      </c>
      <c r="S19" s="2" t="b">
        <v>1</v>
      </c>
      <c r="T19" s="9"/>
      <c r="U19" s="9"/>
      <c r="V19" s="19"/>
      <c r="W19" s="20" t="s">
        <v>405</v>
      </c>
      <c r="X19" s="25">
        <v>1200</v>
      </c>
      <c r="Y19" s="26" t="s">
        <v>371</v>
      </c>
      <c r="Z19" s="26" t="s">
        <v>406</v>
      </c>
    </row>
    <row r="20" spans="1:26" ht="13.95" customHeight="1">
      <c r="A20" s="7"/>
      <c r="B20" s="1" t="s">
        <v>116</v>
      </c>
      <c r="C20" s="1" t="s">
        <v>117</v>
      </c>
      <c r="D20" s="1" t="s">
        <v>63</v>
      </c>
      <c r="E20" s="1" t="s">
        <v>118</v>
      </c>
      <c r="F20" s="1" t="s">
        <v>119</v>
      </c>
      <c r="G20" s="8">
        <v>150</v>
      </c>
      <c r="H20" s="8" t="s">
        <v>43</v>
      </c>
      <c r="I20" s="8">
        <v>0.52</v>
      </c>
      <c r="J20" s="8">
        <v>1.05</v>
      </c>
      <c r="K20" s="8">
        <v>33.840000000000003</v>
      </c>
      <c r="L20" s="8">
        <v>62.54</v>
      </c>
      <c r="M20" s="6">
        <f t="shared" si="0"/>
        <v>0</v>
      </c>
      <c r="N20" s="13">
        <v>0</v>
      </c>
      <c r="O20" s="6">
        <f t="shared" si="1"/>
        <v>0</v>
      </c>
      <c r="P20" s="8">
        <v>700</v>
      </c>
      <c r="Q20" s="17" t="s">
        <v>44</v>
      </c>
      <c r="R20" s="1" t="s">
        <v>51</v>
      </c>
      <c r="S20" s="2" t="b">
        <v>1</v>
      </c>
      <c r="T20" s="9"/>
      <c r="U20" s="9"/>
      <c r="V20" s="19"/>
      <c r="W20" s="20" t="s">
        <v>407</v>
      </c>
      <c r="X20" s="25">
        <v>80</v>
      </c>
      <c r="Y20" s="26" t="s">
        <v>371</v>
      </c>
      <c r="Z20" s="26" t="s">
        <v>408</v>
      </c>
    </row>
    <row r="21" spans="1:26" ht="13.95" customHeight="1">
      <c r="A21" s="7"/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  <c r="G21" s="8">
        <v>100</v>
      </c>
      <c r="H21" s="8" t="s">
        <v>43</v>
      </c>
      <c r="I21" s="8">
        <v>2.69</v>
      </c>
      <c r="J21" s="8">
        <v>0</v>
      </c>
      <c r="K21" s="8">
        <v>9.51</v>
      </c>
      <c r="L21" s="8">
        <v>9.99</v>
      </c>
      <c r="M21" s="6">
        <f t="shared" si="0"/>
        <v>2.69</v>
      </c>
      <c r="N21" s="13">
        <v>0</v>
      </c>
      <c r="O21" s="6">
        <f t="shared" si="1"/>
        <v>0</v>
      </c>
      <c r="P21" s="8">
        <v>142</v>
      </c>
      <c r="Q21" s="17" t="s">
        <v>44</v>
      </c>
      <c r="R21" s="1" t="s">
        <v>51</v>
      </c>
      <c r="S21" s="2" t="b">
        <v>1</v>
      </c>
      <c r="T21" s="9"/>
      <c r="U21" s="9"/>
      <c r="V21" s="19"/>
      <c r="W21" s="20" t="s">
        <v>409</v>
      </c>
      <c r="X21" s="25">
        <v>540</v>
      </c>
      <c r="Y21" s="26" t="s">
        <v>371</v>
      </c>
      <c r="Z21" s="26" t="s">
        <v>410</v>
      </c>
    </row>
    <row r="22" spans="1:26" ht="13.95" customHeight="1">
      <c r="A22" s="7"/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129</v>
      </c>
      <c r="G22" s="8">
        <v>550</v>
      </c>
      <c r="H22" s="8" t="s">
        <v>43</v>
      </c>
      <c r="I22" s="8">
        <v>75.08</v>
      </c>
      <c r="J22" s="8">
        <v>5.5</v>
      </c>
      <c r="K22" s="8">
        <v>9.4600000000000009</v>
      </c>
      <c r="L22" s="8">
        <v>12.54</v>
      </c>
      <c r="M22" s="6">
        <f t="shared" si="0"/>
        <v>69.58</v>
      </c>
      <c r="N22" s="13">
        <v>49.3</v>
      </c>
      <c r="O22" s="6">
        <f t="shared" si="1"/>
        <v>34.30294</v>
      </c>
      <c r="P22" s="8">
        <v>451</v>
      </c>
      <c r="Q22" s="17" t="s">
        <v>44</v>
      </c>
      <c r="R22" s="1" t="s">
        <v>73</v>
      </c>
      <c r="S22" s="2" t="b">
        <v>1</v>
      </c>
      <c r="T22" s="9"/>
      <c r="U22" s="9"/>
      <c r="V22" s="19"/>
      <c r="W22" s="20" t="s">
        <v>411</v>
      </c>
      <c r="X22" s="25">
        <v>1800</v>
      </c>
      <c r="Y22" s="26" t="s">
        <v>371</v>
      </c>
      <c r="Z22" s="26" t="s">
        <v>412</v>
      </c>
    </row>
    <row r="23" spans="1:26" ht="13.95" customHeight="1">
      <c r="A23" s="7"/>
      <c r="B23" s="1" t="s">
        <v>130</v>
      </c>
      <c r="C23" s="1" t="s">
        <v>131</v>
      </c>
      <c r="D23" s="1" t="s">
        <v>127</v>
      </c>
      <c r="E23" s="1" t="s">
        <v>132</v>
      </c>
      <c r="F23" s="1" t="s">
        <v>104</v>
      </c>
      <c r="G23" s="8">
        <v>500</v>
      </c>
      <c r="H23" s="8" t="s">
        <v>43</v>
      </c>
      <c r="I23" s="8">
        <v>40.25</v>
      </c>
      <c r="J23" s="8">
        <v>4</v>
      </c>
      <c r="K23" s="8">
        <v>9.65</v>
      </c>
      <c r="L23" s="8">
        <v>2.4500000000000002</v>
      </c>
      <c r="M23" s="6">
        <f t="shared" si="0"/>
        <v>36.25</v>
      </c>
      <c r="N23" s="13">
        <v>81.599999999999994</v>
      </c>
      <c r="O23" s="6">
        <f t="shared" si="1"/>
        <v>29.58</v>
      </c>
      <c r="P23" s="8">
        <v>220</v>
      </c>
      <c r="Q23" s="17" t="s">
        <v>44</v>
      </c>
      <c r="R23" s="1" t="s">
        <v>51</v>
      </c>
      <c r="S23" s="2" t="b">
        <v>1</v>
      </c>
      <c r="T23" s="9"/>
      <c r="U23" s="9"/>
      <c r="V23" s="19"/>
      <c r="W23" s="20" t="s">
        <v>413</v>
      </c>
      <c r="X23" s="25">
        <v>1500</v>
      </c>
      <c r="Y23" s="26" t="s">
        <v>371</v>
      </c>
      <c r="Z23" s="26" t="s">
        <v>414</v>
      </c>
    </row>
    <row r="24" spans="1:26" ht="13.95" customHeight="1">
      <c r="A24" s="7"/>
      <c r="B24" s="1" t="s">
        <v>133</v>
      </c>
      <c r="C24" s="1" t="s">
        <v>134</v>
      </c>
      <c r="D24" s="1" t="s">
        <v>127</v>
      </c>
      <c r="E24" s="1" t="s">
        <v>135</v>
      </c>
      <c r="F24" s="1" t="s">
        <v>136</v>
      </c>
      <c r="G24" s="8">
        <v>600</v>
      </c>
      <c r="H24" s="8" t="s">
        <v>43</v>
      </c>
      <c r="I24" s="8">
        <v>89.4</v>
      </c>
      <c r="J24" s="8">
        <v>9.6</v>
      </c>
      <c r="K24" s="8">
        <v>19.8</v>
      </c>
      <c r="L24" s="8">
        <v>2.94</v>
      </c>
      <c r="M24" s="6">
        <f t="shared" si="0"/>
        <v>79.800000000000011</v>
      </c>
      <c r="N24" s="13">
        <v>62</v>
      </c>
      <c r="O24" s="6">
        <f t="shared" si="1"/>
        <v>49.476000000000006</v>
      </c>
      <c r="P24" s="8">
        <v>462</v>
      </c>
      <c r="Q24" s="17" t="s">
        <v>44</v>
      </c>
      <c r="R24" s="1" t="s">
        <v>73</v>
      </c>
      <c r="S24" s="2" t="b">
        <v>1</v>
      </c>
      <c r="T24" s="9"/>
      <c r="U24" s="9"/>
      <c r="V24" s="19"/>
      <c r="W24" s="20" t="s">
        <v>415</v>
      </c>
      <c r="X24" s="25">
        <v>2100</v>
      </c>
      <c r="Y24" s="26" t="s">
        <v>371</v>
      </c>
      <c r="Z24" s="26" t="s">
        <v>416</v>
      </c>
    </row>
    <row r="25" spans="1:26" ht="13.95" customHeight="1">
      <c r="A25" s="7"/>
      <c r="B25" s="1" t="s">
        <v>137</v>
      </c>
      <c r="C25" s="1" t="s">
        <v>138</v>
      </c>
      <c r="D25" s="1" t="s">
        <v>127</v>
      </c>
      <c r="E25" s="1" t="s">
        <v>139</v>
      </c>
      <c r="F25" s="1" t="s">
        <v>140</v>
      </c>
      <c r="G25" s="8">
        <v>550</v>
      </c>
      <c r="H25" s="8" t="s">
        <v>43</v>
      </c>
      <c r="I25" s="8">
        <v>56.7</v>
      </c>
      <c r="J25" s="8">
        <v>1.65</v>
      </c>
      <c r="K25" s="8">
        <v>10.78</v>
      </c>
      <c r="L25" s="8">
        <v>3.52</v>
      </c>
      <c r="M25" s="6">
        <f t="shared" si="0"/>
        <v>55.050000000000004</v>
      </c>
      <c r="N25" s="13">
        <v>59</v>
      </c>
      <c r="O25" s="6">
        <f t="shared" si="1"/>
        <v>32.479500000000002</v>
      </c>
      <c r="P25" s="8">
        <v>302.5</v>
      </c>
      <c r="Q25" s="17" t="s">
        <v>44</v>
      </c>
      <c r="R25" s="1" t="s">
        <v>73</v>
      </c>
      <c r="S25" s="2" t="b">
        <v>1</v>
      </c>
      <c r="T25" s="9"/>
      <c r="U25" s="9"/>
      <c r="V25" s="19"/>
      <c r="W25" s="20" t="s">
        <v>417</v>
      </c>
      <c r="X25" s="25">
        <v>1700</v>
      </c>
      <c r="Y25" s="26" t="s">
        <v>371</v>
      </c>
      <c r="Z25" s="26" t="s">
        <v>418</v>
      </c>
    </row>
    <row r="26" spans="1:26" ht="13.95" customHeight="1">
      <c r="A26" s="7"/>
      <c r="B26" s="1" t="s">
        <v>141</v>
      </c>
      <c r="C26" s="1" t="s">
        <v>142</v>
      </c>
      <c r="D26" s="1" t="s">
        <v>127</v>
      </c>
      <c r="E26" s="1" t="s">
        <v>143</v>
      </c>
      <c r="F26" s="1" t="s">
        <v>144</v>
      </c>
      <c r="G26" s="8">
        <v>650</v>
      </c>
      <c r="H26" s="8" t="s">
        <v>43</v>
      </c>
      <c r="I26" s="8">
        <v>93.4</v>
      </c>
      <c r="J26" s="8">
        <v>9.1</v>
      </c>
      <c r="K26" s="8">
        <v>17.48</v>
      </c>
      <c r="L26" s="8">
        <v>14.43</v>
      </c>
      <c r="M26" s="6">
        <f t="shared" si="0"/>
        <v>84.300000000000011</v>
      </c>
      <c r="N26" s="13">
        <v>50</v>
      </c>
      <c r="O26" s="6">
        <f t="shared" si="1"/>
        <v>42.150000000000006</v>
      </c>
      <c r="P26" s="8">
        <v>572</v>
      </c>
      <c r="Q26" s="17" t="s">
        <v>44</v>
      </c>
      <c r="R26" s="1" t="s">
        <v>73</v>
      </c>
      <c r="S26" s="2" t="b">
        <v>1</v>
      </c>
      <c r="T26" s="9"/>
      <c r="U26" s="9"/>
      <c r="V26" s="19"/>
      <c r="W26" s="20" t="s">
        <v>419</v>
      </c>
      <c r="X26" s="25">
        <v>2400</v>
      </c>
      <c r="Y26" s="26" t="s">
        <v>371</v>
      </c>
      <c r="Z26" s="26" t="s">
        <v>420</v>
      </c>
    </row>
    <row r="27" spans="1:26" ht="13.95" customHeight="1">
      <c r="A27" s="7"/>
      <c r="B27" s="1" t="s">
        <v>145</v>
      </c>
      <c r="C27" s="1" t="s">
        <v>146</v>
      </c>
      <c r="D27" s="1" t="s">
        <v>147</v>
      </c>
      <c r="E27" s="1" t="s">
        <v>148</v>
      </c>
      <c r="F27" s="1" t="s">
        <v>149</v>
      </c>
      <c r="G27" s="8">
        <v>100</v>
      </c>
      <c r="H27" s="8" t="s">
        <v>43</v>
      </c>
      <c r="I27" s="8">
        <v>34.200000000000003</v>
      </c>
      <c r="J27" s="8">
        <v>5.7</v>
      </c>
      <c r="K27" s="8">
        <v>6.68</v>
      </c>
      <c r="L27" s="8">
        <v>2.42</v>
      </c>
      <c r="M27" s="6">
        <f t="shared" si="0"/>
        <v>28.500000000000004</v>
      </c>
      <c r="N27" s="13">
        <v>73.400000000000006</v>
      </c>
      <c r="O27" s="6">
        <f t="shared" si="1"/>
        <v>20.919000000000004</v>
      </c>
      <c r="P27" s="8">
        <v>185</v>
      </c>
      <c r="Q27" s="17" t="s">
        <v>44</v>
      </c>
      <c r="R27" s="1" t="s">
        <v>45</v>
      </c>
      <c r="S27" s="2" t="b">
        <v>1</v>
      </c>
      <c r="T27" s="9"/>
      <c r="U27" s="9"/>
      <c r="V27" s="19"/>
      <c r="W27" s="20" t="s">
        <v>421</v>
      </c>
      <c r="X27" s="25">
        <v>15</v>
      </c>
      <c r="Y27" s="26" t="s">
        <v>422</v>
      </c>
      <c r="Z27" s="26" t="s">
        <v>423</v>
      </c>
    </row>
    <row r="28" spans="1:26" ht="13.95" customHeight="1">
      <c r="A28" s="7"/>
      <c r="B28" s="1" t="s">
        <v>150</v>
      </c>
      <c r="C28" s="1" t="s">
        <v>151</v>
      </c>
      <c r="D28" s="1" t="s">
        <v>152</v>
      </c>
      <c r="E28" s="1" t="s">
        <v>153</v>
      </c>
      <c r="F28" s="1" t="s">
        <v>154</v>
      </c>
      <c r="G28" s="8">
        <v>250</v>
      </c>
      <c r="H28" s="8" t="s">
        <v>43</v>
      </c>
      <c r="I28" s="8">
        <v>39.72</v>
      </c>
      <c r="J28" s="8">
        <v>0.75</v>
      </c>
      <c r="K28" s="8">
        <v>34.619999999999997</v>
      </c>
      <c r="L28" s="8">
        <v>44.85</v>
      </c>
      <c r="M28" s="6">
        <f t="shared" si="0"/>
        <v>38.97</v>
      </c>
      <c r="N28" s="13">
        <v>82</v>
      </c>
      <c r="O28" s="6">
        <f t="shared" si="1"/>
        <v>31.955400000000001</v>
      </c>
      <c r="P28" s="8">
        <v>700</v>
      </c>
      <c r="Q28" s="17" t="s">
        <v>44</v>
      </c>
      <c r="R28" s="1" t="s">
        <v>45</v>
      </c>
      <c r="S28" s="2" t="b">
        <v>1</v>
      </c>
      <c r="T28" s="9"/>
      <c r="U28" s="9"/>
      <c r="V28" s="19"/>
      <c r="W28" s="20" t="s">
        <v>424</v>
      </c>
      <c r="X28" s="25">
        <v>800</v>
      </c>
      <c r="Y28" s="26" t="s">
        <v>371</v>
      </c>
      <c r="Z28" s="26" t="s">
        <v>425</v>
      </c>
    </row>
    <row r="29" spans="1:26" ht="13.95" customHeight="1">
      <c r="A29" s="7"/>
      <c r="B29" s="1" t="s">
        <v>155</v>
      </c>
      <c r="C29" s="1" t="s">
        <v>156</v>
      </c>
      <c r="D29" s="1" t="s">
        <v>157</v>
      </c>
      <c r="E29" s="1" t="s">
        <v>158</v>
      </c>
      <c r="F29" s="1" t="s">
        <v>159</v>
      </c>
      <c r="G29" s="8">
        <v>200</v>
      </c>
      <c r="H29" s="8" t="s">
        <v>43</v>
      </c>
      <c r="I29" s="8">
        <v>37.380000000000003</v>
      </c>
      <c r="J29" s="8">
        <v>3.6</v>
      </c>
      <c r="K29" s="8">
        <v>10.6</v>
      </c>
      <c r="L29" s="8">
        <v>20</v>
      </c>
      <c r="M29" s="6">
        <f t="shared" si="0"/>
        <v>33.78</v>
      </c>
      <c r="N29" s="13">
        <v>71</v>
      </c>
      <c r="O29" s="6">
        <f t="shared" si="1"/>
        <v>23.983800000000002</v>
      </c>
      <c r="P29" s="8">
        <v>370</v>
      </c>
      <c r="Q29" s="17" t="s">
        <v>44</v>
      </c>
      <c r="R29" s="1" t="s">
        <v>51</v>
      </c>
      <c r="S29" s="2" t="b">
        <v>1</v>
      </c>
      <c r="T29" s="9"/>
      <c r="U29" s="9"/>
      <c r="V29" s="19"/>
      <c r="W29" s="20" t="s">
        <v>426</v>
      </c>
      <c r="X29" s="25">
        <v>1000</v>
      </c>
      <c r="Y29" s="26" t="s">
        <v>371</v>
      </c>
      <c r="Z29" s="26" t="s">
        <v>427</v>
      </c>
    </row>
    <row r="30" spans="1:26" ht="13.95" customHeight="1">
      <c r="A30" s="7"/>
      <c r="B30" s="1" t="s">
        <v>160</v>
      </c>
      <c r="C30" s="1" t="s">
        <v>161</v>
      </c>
      <c r="D30" s="1" t="s">
        <v>157</v>
      </c>
      <c r="E30" s="1" t="s">
        <v>162</v>
      </c>
      <c r="F30" s="1" t="s">
        <v>163</v>
      </c>
      <c r="G30" s="8">
        <v>80</v>
      </c>
      <c r="H30" s="8" t="s">
        <v>43</v>
      </c>
      <c r="I30" s="8">
        <v>40.729999999999997</v>
      </c>
      <c r="J30" s="8">
        <v>2.8</v>
      </c>
      <c r="K30" s="8">
        <v>7.47</v>
      </c>
      <c r="L30" s="8">
        <v>2.08</v>
      </c>
      <c r="M30" s="6">
        <f t="shared" si="0"/>
        <v>37.93</v>
      </c>
      <c r="N30" s="14">
        <v>65</v>
      </c>
      <c r="O30" s="6">
        <f t="shared" si="1"/>
        <v>24.654499999999999</v>
      </c>
      <c r="P30" s="8">
        <v>211.2</v>
      </c>
      <c r="Q30" s="17" t="s">
        <v>44</v>
      </c>
      <c r="R30" s="1" t="s">
        <v>51</v>
      </c>
      <c r="S30" s="2" t="b">
        <v>1</v>
      </c>
      <c r="T30" s="9"/>
      <c r="U30" s="9"/>
      <c r="V30" s="19"/>
      <c r="W30" s="20" t="s">
        <v>428</v>
      </c>
      <c r="X30" s="25">
        <v>400</v>
      </c>
      <c r="Y30" s="26" t="s">
        <v>371</v>
      </c>
      <c r="Z30" s="26" t="s">
        <v>429</v>
      </c>
    </row>
    <row r="31" spans="1:26" ht="13.95" customHeight="1">
      <c r="A31" s="7"/>
      <c r="B31" s="1" t="s">
        <v>164</v>
      </c>
      <c r="C31" s="1" t="s">
        <v>165</v>
      </c>
      <c r="D31" s="1" t="s">
        <v>127</v>
      </c>
      <c r="E31" s="1" t="s">
        <v>166</v>
      </c>
      <c r="F31" s="1" t="s">
        <v>167</v>
      </c>
      <c r="G31" s="8">
        <v>500</v>
      </c>
      <c r="H31" s="8" t="s">
        <v>43</v>
      </c>
      <c r="I31" s="8">
        <v>63.8</v>
      </c>
      <c r="J31" s="8">
        <v>3.5</v>
      </c>
      <c r="K31" s="8">
        <v>10.7</v>
      </c>
      <c r="L31" s="8">
        <v>5.5</v>
      </c>
      <c r="M31" s="6">
        <f t="shared" si="0"/>
        <v>60.3</v>
      </c>
      <c r="N31" s="15">
        <v>56.5</v>
      </c>
      <c r="O31" s="6">
        <f t="shared" si="1"/>
        <v>34.069499999999998</v>
      </c>
      <c r="P31" s="8">
        <v>355</v>
      </c>
      <c r="Q31" s="17" t="s">
        <v>44</v>
      </c>
      <c r="R31" s="1" t="s">
        <v>73</v>
      </c>
      <c r="S31" s="2" t="b">
        <v>1</v>
      </c>
      <c r="T31" s="9"/>
      <c r="U31" s="9"/>
      <c r="V31" s="19"/>
      <c r="W31" s="20" t="s">
        <v>430</v>
      </c>
      <c r="X31" s="25">
        <v>2100</v>
      </c>
      <c r="Y31" s="26" t="s">
        <v>371</v>
      </c>
      <c r="Z31" s="26" t="s">
        <v>431</v>
      </c>
    </row>
    <row r="32" spans="1:26" ht="13.95" customHeight="1">
      <c r="A32" s="7"/>
      <c r="B32" s="1" t="s">
        <v>168</v>
      </c>
      <c r="C32" s="1" t="s">
        <v>169</v>
      </c>
      <c r="D32" s="1" t="s">
        <v>127</v>
      </c>
      <c r="E32" s="1" t="s">
        <v>170</v>
      </c>
      <c r="F32" s="1" t="s">
        <v>171</v>
      </c>
      <c r="G32" s="8">
        <v>200</v>
      </c>
      <c r="H32" s="8" t="s">
        <v>43</v>
      </c>
      <c r="I32" s="8">
        <v>44.7</v>
      </c>
      <c r="J32" s="8">
        <v>5.6</v>
      </c>
      <c r="K32" s="8">
        <v>9.7799999999999994</v>
      </c>
      <c r="L32" s="8">
        <v>11.72</v>
      </c>
      <c r="M32" s="6">
        <f t="shared" si="0"/>
        <v>39.1</v>
      </c>
      <c r="N32" s="15">
        <v>55.3</v>
      </c>
      <c r="O32" s="6">
        <f t="shared" si="1"/>
        <v>21.622299999999999</v>
      </c>
      <c r="P32" s="8">
        <v>324</v>
      </c>
      <c r="Q32" s="17" t="s">
        <v>44</v>
      </c>
      <c r="R32" s="1" t="s">
        <v>73</v>
      </c>
      <c r="S32" s="2" t="b">
        <v>1</v>
      </c>
      <c r="T32" s="9"/>
      <c r="U32" s="9"/>
      <c r="V32" s="19"/>
      <c r="W32" s="20" t="s">
        <v>432</v>
      </c>
      <c r="X32" s="25">
        <v>600</v>
      </c>
      <c r="Y32" s="26" t="s">
        <v>371</v>
      </c>
      <c r="Z32" s="26" t="s">
        <v>433</v>
      </c>
    </row>
    <row r="33" spans="1:26" ht="13.95" customHeight="1">
      <c r="A33" s="7"/>
      <c r="B33" s="1" t="s">
        <v>172</v>
      </c>
      <c r="C33" s="1" t="s">
        <v>173</v>
      </c>
      <c r="D33" s="1" t="s">
        <v>157</v>
      </c>
      <c r="E33" s="1" t="s">
        <v>174</v>
      </c>
      <c r="F33" s="1" t="s">
        <v>175</v>
      </c>
      <c r="G33" s="8">
        <v>190</v>
      </c>
      <c r="H33" s="8" t="s">
        <v>43</v>
      </c>
      <c r="I33" s="8">
        <v>24.99</v>
      </c>
      <c r="J33" s="8">
        <v>0.56999999999999995</v>
      </c>
      <c r="K33" s="8">
        <v>5.51</v>
      </c>
      <c r="L33" s="8">
        <v>4.26</v>
      </c>
      <c r="M33" s="6">
        <f t="shared" si="0"/>
        <v>24.419999999999998</v>
      </c>
      <c r="N33" s="16">
        <v>73</v>
      </c>
      <c r="O33" s="6">
        <f t="shared" si="1"/>
        <v>17.826599999999999</v>
      </c>
      <c r="P33" s="8">
        <v>161.5</v>
      </c>
      <c r="Q33" s="17" t="s">
        <v>44</v>
      </c>
      <c r="R33" s="1" t="s">
        <v>73</v>
      </c>
      <c r="S33" s="2" t="b">
        <v>1</v>
      </c>
      <c r="T33" s="9"/>
      <c r="U33" s="9"/>
      <c r="V33" s="19"/>
      <c r="W33" s="20" t="s">
        <v>434</v>
      </c>
      <c r="X33" s="25">
        <v>350</v>
      </c>
      <c r="Y33" s="26" t="s">
        <v>371</v>
      </c>
      <c r="Z33" s="26" t="s">
        <v>435</v>
      </c>
    </row>
    <row r="34" spans="1:26" ht="13.95" customHeight="1">
      <c r="A34" s="7"/>
      <c r="B34" s="1" t="s">
        <v>176</v>
      </c>
      <c r="C34" s="1" t="s">
        <v>177</v>
      </c>
      <c r="D34" s="1" t="s">
        <v>40</v>
      </c>
      <c r="E34" s="1" t="s">
        <v>76</v>
      </c>
      <c r="F34" s="1" t="s">
        <v>178</v>
      </c>
      <c r="G34" s="8">
        <v>350</v>
      </c>
      <c r="H34" s="8" t="s">
        <v>43</v>
      </c>
      <c r="I34" s="8">
        <v>118.9</v>
      </c>
      <c r="J34" s="8">
        <v>5.95</v>
      </c>
      <c r="K34" s="8">
        <v>19.46</v>
      </c>
      <c r="L34" s="8">
        <v>9.66</v>
      </c>
      <c r="M34" s="6">
        <f t="shared" ref="M34:M59" si="2">IF(OR(I34="",J34=""),"",MAX(I34-J34,0))</f>
        <v>112.95</v>
      </c>
      <c r="N34" s="16">
        <v>80</v>
      </c>
      <c r="O34" s="6">
        <f t="shared" ref="O34:O59" si="3">IF(OR(M34="",N34=""),"",M34*N34/100)</f>
        <v>90.36</v>
      </c>
      <c r="P34" s="8">
        <v>640.5</v>
      </c>
      <c r="Q34" s="17" t="s">
        <v>44</v>
      </c>
      <c r="R34" s="1" t="s">
        <v>73</v>
      </c>
      <c r="S34" s="2" t="b">
        <v>1</v>
      </c>
      <c r="T34" s="9"/>
      <c r="U34" s="9"/>
      <c r="V34" s="19"/>
      <c r="W34" s="20" t="s">
        <v>436</v>
      </c>
      <c r="X34" s="25">
        <v>1100</v>
      </c>
      <c r="Y34" s="26" t="s">
        <v>371</v>
      </c>
      <c r="Z34" s="26" t="s">
        <v>437</v>
      </c>
    </row>
    <row r="35" spans="1:26" ht="13.95" customHeight="1">
      <c r="A35" s="7"/>
      <c r="B35" s="1" t="s">
        <v>179</v>
      </c>
      <c r="C35" s="1" t="s">
        <v>180</v>
      </c>
      <c r="D35" s="1" t="s">
        <v>181</v>
      </c>
      <c r="E35" s="1" t="s">
        <v>182</v>
      </c>
      <c r="F35" s="1" t="s">
        <v>183</v>
      </c>
      <c r="G35" s="8">
        <v>220</v>
      </c>
      <c r="H35" s="8" t="s">
        <v>43</v>
      </c>
      <c r="I35" s="8">
        <v>38.28</v>
      </c>
      <c r="J35" s="8">
        <v>5.0599999999999996</v>
      </c>
      <c r="K35" s="8">
        <v>27.24</v>
      </c>
      <c r="L35" s="8">
        <v>9.7899999999999991</v>
      </c>
      <c r="M35" s="6">
        <f t="shared" si="2"/>
        <v>33.22</v>
      </c>
      <c r="N35" s="16">
        <v>28</v>
      </c>
      <c r="O35" s="6">
        <f t="shared" si="3"/>
        <v>9.3016000000000005</v>
      </c>
      <c r="P35" s="8">
        <v>349.8</v>
      </c>
      <c r="Q35" s="17" t="s">
        <v>44</v>
      </c>
      <c r="R35" s="1" t="s">
        <v>73</v>
      </c>
      <c r="S35" s="2" t="b">
        <v>1</v>
      </c>
      <c r="T35" s="9"/>
      <c r="U35" s="9"/>
      <c r="V35" s="19"/>
      <c r="W35" s="20" t="s">
        <v>438</v>
      </c>
      <c r="X35" s="25">
        <v>900</v>
      </c>
      <c r="Y35" s="26" t="s">
        <v>371</v>
      </c>
      <c r="Z35" s="26" t="s">
        <v>439</v>
      </c>
    </row>
    <row r="36" spans="1:26" ht="13.95" customHeight="1">
      <c r="A36" s="7"/>
      <c r="B36" s="1" t="s">
        <v>184</v>
      </c>
      <c r="C36" s="1" t="s">
        <v>185</v>
      </c>
      <c r="D36" s="1" t="s">
        <v>186</v>
      </c>
      <c r="E36" s="1" t="s">
        <v>187</v>
      </c>
      <c r="F36" s="1" t="s">
        <v>188</v>
      </c>
      <c r="G36" s="8">
        <v>100</v>
      </c>
      <c r="H36" s="8" t="s">
        <v>43</v>
      </c>
      <c r="I36" s="8">
        <v>9.58</v>
      </c>
      <c r="J36" s="8">
        <v>3</v>
      </c>
      <c r="K36" s="8">
        <v>0.93</v>
      </c>
      <c r="L36" s="8">
        <v>0.24</v>
      </c>
      <c r="M36" s="6">
        <f t="shared" si="2"/>
        <v>6.58</v>
      </c>
      <c r="N36" s="16">
        <v>39</v>
      </c>
      <c r="O36" s="6">
        <f t="shared" si="3"/>
        <v>2.5662000000000003</v>
      </c>
      <c r="P36" s="8">
        <v>41</v>
      </c>
      <c r="Q36" s="17" t="s">
        <v>44</v>
      </c>
      <c r="R36" s="1" t="s">
        <v>45</v>
      </c>
      <c r="S36" s="2" t="b">
        <v>1</v>
      </c>
      <c r="T36" s="9"/>
      <c r="U36" s="9"/>
      <c r="V36" s="19"/>
      <c r="W36" s="20" t="s">
        <v>440</v>
      </c>
      <c r="X36" s="25">
        <v>69</v>
      </c>
      <c r="Y36" s="26" t="s">
        <v>422</v>
      </c>
      <c r="Z36" s="26" t="s">
        <v>441</v>
      </c>
    </row>
    <row r="37" spans="1:26" ht="13.95" customHeight="1">
      <c r="A37" s="7"/>
      <c r="B37" s="1" t="s">
        <v>189</v>
      </c>
      <c r="C37" s="1" t="s">
        <v>190</v>
      </c>
      <c r="D37" s="1" t="s">
        <v>191</v>
      </c>
      <c r="E37" s="1" t="s">
        <v>192</v>
      </c>
      <c r="F37" s="1" t="s">
        <v>193</v>
      </c>
      <c r="G37" s="8">
        <v>190</v>
      </c>
      <c r="H37" s="8" t="s">
        <v>194</v>
      </c>
      <c r="I37" s="8">
        <v>16</v>
      </c>
      <c r="J37" s="8">
        <v>0</v>
      </c>
      <c r="K37" s="8">
        <v>1.01</v>
      </c>
      <c r="L37" s="8">
        <v>0</v>
      </c>
      <c r="M37" s="6">
        <f t="shared" si="2"/>
        <v>16</v>
      </c>
      <c r="N37" s="16">
        <v>31</v>
      </c>
      <c r="O37" s="6">
        <f t="shared" si="3"/>
        <v>4.96</v>
      </c>
      <c r="P37" s="8">
        <v>70.3</v>
      </c>
      <c r="Q37" s="17" t="s">
        <v>44</v>
      </c>
      <c r="R37" s="1" t="s">
        <v>45</v>
      </c>
      <c r="S37" s="2" t="b">
        <v>1</v>
      </c>
      <c r="T37" s="9"/>
      <c r="U37" s="9"/>
      <c r="V37" s="19"/>
      <c r="W37" s="20" t="s">
        <v>442</v>
      </c>
      <c r="X37" s="25">
        <v>270</v>
      </c>
      <c r="Y37" s="26" t="s">
        <v>371</v>
      </c>
      <c r="Z37" s="26" t="s">
        <v>443</v>
      </c>
    </row>
    <row r="38" spans="1:26" ht="13.95" customHeight="1">
      <c r="A38" s="7"/>
      <c r="B38" s="1" t="s">
        <v>195</v>
      </c>
      <c r="C38" s="1" t="s">
        <v>196</v>
      </c>
      <c r="D38" s="1" t="s">
        <v>197</v>
      </c>
      <c r="E38" s="1" t="s">
        <v>198</v>
      </c>
      <c r="F38" s="1" t="s">
        <v>188</v>
      </c>
      <c r="G38" s="8">
        <v>100</v>
      </c>
      <c r="H38" s="8" t="s">
        <v>43</v>
      </c>
      <c r="I38" s="8">
        <v>12.24</v>
      </c>
      <c r="J38" s="8">
        <v>1.1000000000000001</v>
      </c>
      <c r="K38" s="8">
        <v>0.28999999999999998</v>
      </c>
      <c r="L38" s="8">
        <v>0.04</v>
      </c>
      <c r="M38" s="6">
        <f t="shared" si="2"/>
        <v>11.14</v>
      </c>
      <c r="N38" s="16">
        <v>38</v>
      </c>
      <c r="O38" s="6">
        <f t="shared" si="3"/>
        <v>4.2332000000000001</v>
      </c>
      <c r="P38" s="8">
        <v>45</v>
      </c>
      <c r="Q38" s="17" t="s">
        <v>44</v>
      </c>
      <c r="R38" s="1" t="s">
        <v>45</v>
      </c>
      <c r="S38" s="2" t="b">
        <v>1</v>
      </c>
      <c r="T38" s="9"/>
      <c r="U38" s="9"/>
      <c r="V38" s="19"/>
      <c r="W38" s="20" t="s">
        <v>444</v>
      </c>
      <c r="X38" s="25">
        <v>1</v>
      </c>
      <c r="Y38" s="26" t="s">
        <v>422</v>
      </c>
      <c r="Z38" s="26" t="s">
        <v>445</v>
      </c>
    </row>
    <row r="39" spans="1:26" ht="13.95" customHeight="1">
      <c r="A39" s="7"/>
      <c r="B39" s="1" t="s">
        <v>199</v>
      </c>
      <c r="C39" s="1" t="s">
        <v>200</v>
      </c>
      <c r="D39" s="1" t="s">
        <v>197</v>
      </c>
      <c r="E39" s="1" t="s">
        <v>201</v>
      </c>
      <c r="F39" s="1" t="s">
        <v>188</v>
      </c>
      <c r="G39" s="8">
        <v>100</v>
      </c>
      <c r="H39" s="8" t="s">
        <v>43</v>
      </c>
      <c r="I39" s="8">
        <v>10.039999999999999</v>
      </c>
      <c r="J39" s="8">
        <v>1.6</v>
      </c>
      <c r="K39" s="8">
        <v>0.53</v>
      </c>
      <c r="L39" s="8">
        <v>0.1</v>
      </c>
      <c r="M39" s="6">
        <f t="shared" si="2"/>
        <v>8.44</v>
      </c>
      <c r="N39" s="15">
        <v>47</v>
      </c>
      <c r="O39" s="6">
        <f t="shared" si="3"/>
        <v>3.9667999999999997</v>
      </c>
      <c r="P39" s="8">
        <v>39</v>
      </c>
      <c r="Q39" s="17" t="s">
        <v>44</v>
      </c>
      <c r="R39" s="1" t="s">
        <v>45</v>
      </c>
      <c r="S39" s="2" t="b">
        <v>1</v>
      </c>
      <c r="T39" s="9"/>
      <c r="U39" s="9"/>
      <c r="V39" s="19"/>
      <c r="W39" s="20" t="s">
        <v>446</v>
      </c>
      <c r="X39" s="25">
        <v>2</v>
      </c>
      <c r="Y39" s="26" t="s">
        <v>422</v>
      </c>
      <c r="Z39" s="26" t="s">
        <v>447</v>
      </c>
    </row>
    <row r="40" spans="1:26" ht="13.95" customHeight="1">
      <c r="A40" s="7"/>
      <c r="B40" s="1" t="s">
        <v>202</v>
      </c>
      <c r="C40" s="1" t="s">
        <v>203</v>
      </c>
      <c r="D40" s="1" t="s">
        <v>197</v>
      </c>
      <c r="E40" s="1" t="s">
        <v>204</v>
      </c>
      <c r="F40" s="1" t="s">
        <v>171</v>
      </c>
      <c r="G40" s="8">
        <v>200</v>
      </c>
      <c r="H40" s="8" t="s">
        <v>43</v>
      </c>
      <c r="I40" s="8">
        <v>15.66</v>
      </c>
      <c r="J40" s="8">
        <v>0.4</v>
      </c>
      <c r="K40" s="8">
        <v>1.58</v>
      </c>
      <c r="L40" s="8">
        <v>0.1</v>
      </c>
      <c r="M40" s="6">
        <f t="shared" si="2"/>
        <v>15.26</v>
      </c>
      <c r="N40" s="15">
        <v>80</v>
      </c>
      <c r="O40" s="6">
        <f t="shared" si="3"/>
        <v>12.208</v>
      </c>
      <c r="P40" s="8">
        <v>62</v>
      </c>
      <c r="Q40" s="17" t="s">
        <v>44</v>
      </c>
      <c r="R40" s="1" t="s">
        <v>45</v>
      </c>
      <c r="S40" s="2" t="b">
        <v>1</v>
      </c>
      <c r="T40" s="9"/>
      <c r="U40" s="9"/>
      <c r="V40" s="19"/>
      <c r="W40" s="20" t="s">
        <v>448</v>
      </c>
      <c r="X40" s="25">
        <v>2</v>
      </c>
      <c r="Y40" s="26" t="s">
        <v>422</v>
      </c>
      <c r="Z40" s="26" t="s">
        <v>449</v>
      </c>
    </row>
    <row r="41" spans="1:26" ht="13.95" customHeight="1">
      <c r="A41" s="7"/>
      <c r="B41" s="1" t="s">
        <v>205</v>
      </c>
      <c r="C41" s="1" t="s">
        <v>206</v>
      </c>
      <c r="D41" s="1" t="s">
        <v>197</v>
      </c>
      <c r="E41" s="1" t="s">
        <v>207</v>
      </c>
      <c r="F41" s="1" t="s">
        <v>188</v>
      </c>
      <c r="G41" s="8">
        <v>100</v>
      </c>
      <c r="H41" s="8" t="s">
        <v>43</v>
      </c>
      <c r="I41" s="8">
        <v>11.18</v>
      </c>
      <c r="J41" s="8">
        <v>0</v>
      </c>
      <c r="K41" s="8">
        <v>0.74</v>
      </c>
      <c r="L41" s="8">
        <v>0.79</v>
      </c>
      <c r="M41" s="6">
        <f t="shared" si="2"/>
        <v>11.18</v>
      </c>
      <c r="N41" s="15">
        <v>34</v>
      </c>
      <c r="O41" s="6">
        <f t="shared" si="3"/>
        <v>3.8012000000000001</v>
      </c>
      <c r="P41" s="8">
        <v>49</v>
      </c>
      <c r="Q41" s="17" t="s">
        <v>44</v>
      </c>
      <c r="R41" s="1" t="s">
        <v>45</v>
      </c>
      <c r="S41" s="2" t="b">
        <v>1</v>
      </c>
      <c r="T41" s="9"/>
      <c r="U41" s="9"/>
      <c r="V41" s="19"/>
      <c r="W41" s="20" t="s">
        <v>450</v>
      </c>
      <c r="X41" s="25">
        <v>0</v>
      </c>
      <c r="Y41" s="26" t="s">
        <v>422</v>
      </c>
      <c r="Z41" s="26" t="s">
        <v>451</v>
      </c>
    </row>
    <row r="42" spans="1:26" ht="13.95" customHeight="1">
      <c r="A42" s="7"/>
      <c r="B42" s="1" t="s">
        <v>208</v>
      </c>
      <c r="C42" s="1" t="s">
        <v>209</v>
      </c>
      <c r="D42" s="1" t="s">
        <v>157</v>
      </c>
      <c r="E42" s="1" t="s">
        <v>210</v>
      </c>
      <c r="F42" s="1" t="s">
        <v>211</v>
      </c>
      <c r="G42" s="8">
        <v>70</v>
      </c>
      <c r="H42" s="8" t="s">
        <v>43</v>
      </c>
      <c r="I42" s="8">
        <v>33.6</v>
      </c>
      <c r="J42" s="8">
        <v>0</v>
      </c>
      <c r="K42" s="8">
        <v>7.7</v>
      </c>
      <c r="L42" s="8">
        <v>10.5</v>
      </c>
      <c r="M42" s="6">
        <f t="shared" si="2"/>
        <v>33.6</v>
      </c>
      <c r="N42" s="15">
        <v>46</v>
      </c>
      <c r="O42" s="6">
        <f t="shared" si="3"/>
        <v>15.456000000000001</v>
      </c>
      <c r="P42" s="8">
        <v>259</v>
      </c>
      <c r="Q42" s="17" t="s">
        <v>44</v>
      </c>
      <c r="R42" s="1" t="s">
        <v>45</v>
      </c>
      <c r="S42" s="2" t="b">
        <v>1</v>
      </c>
      <c r="T42" s="9"/>
      <c r="U42" s="9"/>
      <c r="V42" s="19"/>
      <c r="W42" s="20" t="s">
        <v>452</v>
      </c>
      <c r="X42" s="25">
        <v>210</v>
      </c>
      <c r="Y42" s="26" t="s">
        <v>371</v>
      </c>
      <c r="Z42" s="26" t="s">
        <v>453</v>
      </c>
    </row>
    <row r="43" spans="1:26" ht="13.95" customHeight="1">
      <c r="A43" s="7"/>
      <c r="B43" s="1" t="s">
        <v>212</v>
      </c>
      <c r="C43" s="1" t="s">
        <v>213</v>
      </c>
      <c r="D43" s="1" t="s">
        <v>157</v>
      </c>
      <c r="E43" s="1" t="s">
        <v>214</v>
      </c>
      <c r="F43" s="1" t="s">
        <v>211</v>
      </c>
      <c r="G43" s="8">
        <v>70</v>
      </c>
      <c r="H43" s="8" t="s">
        <v>43</v>
      </c>
      <c r="I43" s="8">
        <v>40.25</v>
      </c>
      <c r="J43" s="8">
        <v>0</v>
      </c>
      <c r="K43" s="8">
        <v>3.5</v>
      </c>
      <c r="L43" s="8">
        <v>10.5</v>
      </c>
      <c r="M43" s="6">
        <f t="shared" si="2"/>
        <v>40.25</v>
      </c>
      <c r="N43" s="15">
        <v>73</v>
      </c>
      <c r="O43" s="6">
        <f t="shared" si="3"/>
        <v>29.3825</v>
      </c>
      <c r="P43" s="8">
        <v>270</v>
      </c>
      <c r="Q43" s="17" t="s">
        <v>44</v>
      </c>
      <c r="R43" s="1" t="s">
        <v>45</v>
      </c>
      <c r="S43" s="2" t="b">
        <v>1</v>
      </c>
      <c r="T43" s="9"/>
      <c r="U43" s="9"/>
      <c r="V43" s="19"/>
      <c r="W43" s="20" t="s">
        <v>454</v>
      </c>
      <c r="X43" s="25">
        <v>330</v>
      </c>
      <c r="Y43" s="26" t="s">
        <v>371</v>
      </c>
      <c r="Z43" s="26" t="s">
        <v>455</v>
      </c>
    </row>
    <row r="44" spans="1:26" ht="13.95" customHeight="1">
      <c r="A44" s="7"/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8">
        <v>300</v>
      </c>
      <c r="H44" s="8" t="s">
        <v>43</v>
      </c>
      <c r="I44" s="8">
        <v>40.47</v>
      </c>
      <c r="J44" s="8">
        <v>0.9</v>
      </c>
      <c r="K44" s="8">
        <v>3.6</v>
      </c>
      <c r="L44" s="8">
        <v>0.84</v>
      </c>
      <c r="M44" s="6">
        <f t="shared" si="2"/>
        <v>39.57</v>
      </c>
      <c r="N44" s="15">
        <v>68</v>
      </c>
      <c r="O44" s="6">
        <f t="shared" si="3"/>
        <v>26.907600000000002</v>
      </c>
      <c r="P44" s="8">
        <v>192</v>
      </c>
      <c r="Q44" s="17" t="s">
        <v>44</v>
      </c>
      <c r="R44" s="1" t="s">
        <v>45</v>
      </c>
      <c r="S44" s="2" t="b">
        <v>1</v>
      </c>
      <c r="T44" s="9"/>
      <c r="U44" s="9"/>
      <c r="V44" s="19"/>
      <c r="W44" s="20" t="s">
        <v>456</v>
      </c>
      <c r="X44" s="25">
        <v>300</v>
      </c>
      <c r="Y44" s="26" t="s">
        <v>371</v>
      </c>
      <c r="Z44" s="26" t="s">
        <v>457</v>
      </c>
    </row>
    <row r="45" spans="1:26" ht="13.95" customHeight="1">
      <c r="A45" s="7"/>
      <c r="B45" s="1" t="s">
        <v>220</v>
      </c>
      <c r="C45" s="1" t="s">
        <v>221</v>
      </c>
      <c r="D45" s="1" t="s">
        <v>222</v>
      </c>
      <c r="E45" s="1"/>
      <c r="F45" s="1" t="s">
        <v>223</v>
      </c>
      <c r="G45" s="8">
        <v>2</v>
      </c>
      <c r="H45" s="8" t="s">
        <v>224</v>
      </c>
      <c r="I45" s="8">
        <v>1.1000000000000001</v>
      </c>
      <c r="J45" s="8">
        <v>0</v>
      </c>
      <c r="K45" s="8">
        <v>13</v>
      </c>
      <c r="L45" s="8">
        <v>10</v>
      </c>
      <c r="M45" s="6">
        <f t="shared" si="2"/>
        <v>1.1000000000000001</v>
      </c>
      <c r="N45" s="8">
        <v>0</v>
      </c>
      <c r="O45" s="6">
        <f t="shared" si="3"/>
        <v>0</v>
      </c>
      <c r="P45" s="8">
        <v>150</v>
      </c>
      <c r="Q45" s="17" t="s">
        <v>44</v>
      </c>
      <c r="R45" s="1" t="s">
        <v>225</v>
      </c>
      <c r="S45" s="2" t="b">
        <v>1</v>
      </c>
      <c r="T45" s="9"/>
      <c r="U45" s="9"/>
      <c r="V45" s="19"/>
      <c r="W45" s="20" t="s">
        <v>458</v>
      </c>
      <c r="X45" s="25">
        <v>124</v>
      </c>
      <c r="Y45" s="26" t="s">
        <v>422</v>
      </c>
      <c r="Z45" s="26" t="s">
        <v>459</v>
      </c>
    </row>
    <row r="46" spans="1:26" ht="13.95" customHeight="1">
      <c r="A46" s="7"/>
      <c r="B46" s="1" t="s">
        <v>226</v>
      </c>
      <c r="C46" s="1" t="s">
        <v>227</v>
      </c>
      <c r="D46" s="1" t="s">
        <v>222</v>
      </c>
      <c r="E46" s="1"/>
      <c r="F46" s="1" t="s">
        <v>228</v>
      </c>
      <c r="G46" s="8">
        <v>1</v>
      </c>
      <c r="H46" s="8" t="s">
        <v>224</v>
      </c>
      <c r="I46" s="8">
        <v>5.7</v>
      </c>
      <c r="J46" s="8">
        <v>0.3</v>
      </c>
      <c r="K46" s="8">
        <v>4.66</v>
      </c>
      <c r="L46" s="8">
        <v>7.5</v>
      </c>
      <c r="M46" s="6">
        <f t="shared" si="2"/>
        <v>5.4</v>
      </c>
      <c r="N46" s="8">
        <v>15</v>
      </c>
      <c r="O46" s="6">
        <f t="shared" si="3"/>
        <v>0.81</v>
      </c>
      <c r="P46" s="8">
        <v>135</v>
      </c>
      <c r="Q46" s="17" t="s">
        <v>44</v>
      </c>
      <c r="R46" s="1" t="s">
        <v>225</v>
      </c>
      <c r="S46" s="2" t="b">
        <v>1</v>
      </c>
      <c r="T46" s="9"/>
      <c r="U46" s="9"/>
      <c r="V46" s="19"/>
      <c r="W46" s="20" t="s">
        <v>460</v>
      </c>
      <c r="X46" s="25">
        <v>10</v>
      </c>
      <c r="Y46" s="26" t="s">
        <v>371</v>
      </c>
      <c r="Z46" s="26" t="s">
        <v>461</v>
      </c>
    </row>
    <row r="47" spans="1:26" ht="13.95" customHeight="1">
      <c r="A47" s="7"/>
      <c r="B47" s="1" t="s">
        <v>229</v>
      </c>
      <c r="C47" s="1" t="s">
        <v>230</v>
      </c>
      <c r="D47" s="1" t="s">
        <v>222</v>
      </c>
      <c r="E47" s="1"/>
      <c r="F47" s="1" t="s">
        <v>228</v>
      </c>
      <c r="G47" s="8">
        <v>1</v>
      </c>
      <c r="H47" s="8" t="s">
        <v>224</v>
      </c>
      <c r="I47" s="8">
        <v>0</v>
      </c>
      <c r="J47" s="8">
        <v>0</v>
      </c>
      <c r="K47" s="8">
        <v>24</v>
      </c>
      <c r="L47" s="8">
        <v>2</v>
      </c>
      <c r="M47" s="6">
        <f t="shared" si="2"/>
        <v>0</v>
      </c>
      <c r="N47" s="8">
        <v>0</v>
      </c>
      <c r="O47" s="6">
        <f t="shared" si="3"/>
        <v>0</v>
      </c>
      <c r="P47" s="8">
        <v>120</v>
      </c>
      <c r="Q47" s="17" t="s">
        <v>44</v>
      </c>
      <c r="R47" s="1" t="s">
        <v>225</v>
      </c>
      <c r="S47" s="2" t="b">
        <v>1</v>
      </c>
      <c r="T47" s="9"/>
      <c r="U47" s="9"/>
      <c r="V47" s="19"/>
      <c r="W47" s="20" t="s">
        <v>462</v>
      </c>
      <c r="X47" s="25">
        <v>70</v>
      </c>
      <c r="Y47" s="26" t="s">
        <v>422</v>
      </c>
      <c r="Z47" s="26" t="s">
        <v>463</v>
      </c>
    </row>
    <row r="48" spans="1:26" ht="13.95" customHeight="1">
      <c r="A48" s="7"/>
      <c r="B48" s="1" t="s">
        <v>231</v>
      </c>
      <c r="C48" s="1" t="s">
        <v>232</v>
      </c>
      <c r="D48" s="1" t="s">
        <v>222</v>
      </c>
      <c r="E48" s="1"/>
      <c r="F48" s="1" t="s">
        <v>188</v>
      </c>
      <c r="G48" s="8">
        <v>100</v>
      </c>
      <c r="H48" s="8" t="s">
        <v>43</v>
      </c>
      <c r="I48" s="8">
        <v>5</v>
      </c>
      <c r="J48" s="8">
        <v>2.1</v>
      </c>
      <c r="K48" s="8">
        <v>1</v>
      </c>
      <c r="L48" s="8">
        <v>0.2</v>
      </c>
      <c r="M48" s="6">
        <f t="shared" si="2"/>
        <v>2.9</v>
      </c>
      <c r="N48" s="8">
        <v>15</v>
      </c>
      <c r="O48" s="6">
        <f t="shared" si="3"/>
        <v>0.435</v>
      </c>
      <c r="P48" s="8">
        <v>20</v>
      </c>
      <c r="Q48" s="17" t="s">
        <v>44</v>
      </c>
      <c r="R48" s="1" t="s">
        <v>225</v>
      </c>
      <c r="S48" s="2" t="b">
        <v>1</v>
      </c>
      <c r="T48" s="9"/>
      <c r="U48" s="9"/>
      <c r="V48" s="19"/>
      <c r="W48" s="20" t="s">
        <v>464</v>
      </c>
      <c r="X48" s="25">
        <v>5</v>
      </c>
      <c r="Y48" s="26" t="s">
        <v>422</v>
      </c>
      <c r="Z48" s="26" t="s">
        <v>465</v>
      </c>
    </row>
    <row r="49" spans="1:26" ht="13.95" customHeight="1">
      <c r="A49" s="7"/>
      <c r="B49" s="1" t="s">
        <v>233</v>
      </c>
      <c r="C49" s="1" t="s">
        <v>234</v>
      </c>
      <c r="D49" s="1" t="s">
        <v>222</v>
      </c>
      <c r="E49" s="1"/>
      <c r="F49" s="1" t="s">
        <v>235</v>
      </c>
      <c r="G49" s="8">
        <v>50</v>
      </c>
      <c r="H49" s="8" t="s">
        <v>43</v>
      </c>
      <c r="I49" s="8">
        <v>2</v>
      </c>
      <c r="J49" s="8">
        <v>1.85</v>
      </c>
      <c r="K49" s="8">
        <v>1.25</v>
      </c>
      <c r="L49" s="8">
        <v>0.5</v>
      </c>
      <c r="M49" s="6">
        <f t="shared" si="2"/>
        <v>0.14999999999999991</v>
      </c>
      <c r="N49" s="8">
        <v>15</v>
      </c>
      <c r="O49" s="6">
        <f t="shared" si="3"/>
        <v>2.2499999999999985E-2</v>
      </c>
      <c r="P49" s="8">
        <v>15</v>
      </c>
      <c r="Q49" s="17" t="s">
        <v>44</v>
      </c>
      <c r="R49" s="1" t="s">
        <v>225</v>
      </c>
      <c r="S49" s="2" t="b">
        <v>1</v>
      </c>
      <c r="T49" s="9"/>
      <c r="U49" s="9"/>
      <c r="V49" s="19"/>
      <c r="W49" s="20" t="s">
        <v>466</v>
      </c>
      <c r="X49" s="25">
        <v>220</v>
      </c>
      <c r="Y49" s="26" t="s">
        <v>371</v>
      </c>
      <c r="Z49" s="26" t="s">
        <v>467</v>
      </c>
    </row>
    <row r="50" spans="1:26" ht="13.95" customHeight="1">
      <c r="A50" s="7"/>
      <c r="B50" s="1" t="s">
        <v>236</v>
      </c>
      <c r="C50" s="1" t="s">
        <v>237</v>
      </c>
      <c r="D50" s="1" t="s">
        <v>222</v>
      </c>
      <c r="E50" s="1"/>
      <c r="F50" s="1" t="s">
        <v>171</v>
      </c>
      <c r="G50" s="8">
        <v>200</v>
      </c>
      <c r="H50" s="8" t="s">
        <v>43</v>
      </c>
      <c r="I50" s="8">
        <v>6</v>
      </c>
      <c r="J50" s="8">
        <v>1.6</v>
      </c>
      <c r="K50" s="8">
        <v>1.9</v>
      </c>
      <c r="L50" s="8">
        <v>0.2</v>
      </c>
      <c r="M50" s="6">
        <f t="shared" si="2"/>
        <v>4.4000000000000004</v>
      </c>
      <c r="N50" s="8">
        <v>15</v>
      </c>
      <c r="O50" s="6">
        <f t="shared" si="3"/>
        <v>0.66</v>
      </c>
      <c r="P50" s="8">
        <v>25</v>
      </c>
      <c r="Q50" s="17" t="s">
        <v>44</v>
      </c>
      <c r="R50" s="1" t="s">
        <v>225</v>
      </c>
      <c r="S50" s="2" t="b">
        <v>1</v>
      </c>
      <c r="T50" s="9"/>
      <c r="U50" s="9"/>
      <c r="V50" s="19"/>
      <c r="W50" s="20" t="s">
        <v>468</v>
      </c>
      <c r="X50" s="25">
        <v>4</v>
      </c>
      <c r="Y50" s="26" t="s">
        <v>422</v>
      </c>
      <c r="Z50" s="26" t="s">
        <v>469</v>
      </c>
    </row>
    <row r="51" spans="1:26" ht="13.95" customHeight="1">
      <c r="A51" s="7"/>
      <c r="B51" s="1" t="s">
        <v>238</v>
      </c>
      <c r="C51" s="1" t="s">
        <v>239</v>
      </c>
      <c r="D51" s="1" t="s">
        <v>222</v>
      </c>
      <c r="E51" s="1"/>
      <c r="F51" s="1" t="s">
        <v>188</v>
      </c>
      <c r="G51" s="8">
        <v>100</v>
      </c>
      <c r="H51" s="8" t="s">
        <v>43</v>
      </c>
      <c r="I51" s="8">
        <v>6</v>
      </c>
      <c r="J51" s="8">
        <v>2.5</v>
      </c>
      <c r="K51" s="8">
        <v>1.36</v>
      </c>
      <c r="L51" s="8">
        <v>0.1</v>
      </c>
      <c r="M51" s="6">
        <f t="shared" si="2"/>
        <v>3.5</v>
      </c>
      <c r="N51" s="8">
        <v>10</v>
      </c>
      <c r="O51" s="6">
        <f t="shared" si="3"/>
        <v>0.35</v>
      </c>
      <c r="P51" s="8">
        <v>25</v>
      </c>
      <c r="Q51" s="17" t="s">
        <v>44</v>
      </c>
      <c r="R51" s="1" t="s">
        <v>225</v>
      </c>
      <c r="S51" s="2" t="b">
        <v>1</v>
      </c>
      <c r="T51" s="9"/>
      <c r="U51" s="9"/>
      <c r="V51" s="19"/>
      <c r="W51" s="20" t="s">
        <v>470</v>
      </c>
      <c r="X51" s="25">
        <v>18</v>
      </c>
      <c r="Y51" s="26" t="s">
        <v>422</v>
      </c>
      <c r="Z51" s="26" t="s">
        <v>471</v>
      </c>
    </row>
    <row r="52" spans="1:26" ht="13.95" customHeight="1">
      <c r="A52" s="7"/>
      <c r="B52" s="1" t="s">
        <v>240</v>
      </c>
      <c r="C52" s="1" t="s">
        <v>241</v>
      </c>
      <c r="D52" s="1" t="s">
        <v>222</v>
      </c>
      <c r="E52" s="1"/>
      <c r="F52" s="1" t="s">
        <v>242</v>
      </c>
      <c r="G52" s="8">
        <v>30</v>
      </c>
      <c r="H52" s="8" t="s">
        <v>43</v>
      </c>
      <c r="I52" s="8">
        <v>6.5</v>
      </c>
      <c r="J52" s="8">
        <v>3.39</v>
      </c>
      <c r="K52" s="8">
        <v>7.04</v>
      </c>
      <c r="L52" s="8">
        <v>15</v>
      </c>
      <c r="M52" s="6">
        <f t="shared" si="2"/>
        <v>3.11</v>
      </c>
      <c r="N52" s="8">
        <v>15</v>
      </c>
      <c r="O52" s="6">
        <f t="shared" si="3"/>
        <v>0.46649999999999997</v>
      </c>
      <c r="P52" s="8">
        <v>175</v>
      </c>
      <c r="Q52" s="17" t="s">
        <v>44</v>
      </c>
      <c r="R52" s="1" t="s">
        <v>225</v>
      </c>
      <c r="S52" s="2" t="b">
        <v>1</v>
      </c>
      <c r="T52" s="9"/>
      <c r="U52" s="9"/>
      <c r="V52" s="19"/>
      <c r="W52" s="20" t="s">
        <v>472</v>
      </c>
      <c r="X52" s="25">
        <v>0</v>
      </c>
      <c r="Y52" s="26" t="s">
        <v>422</v>
      </c>
      <c r="Z52" s="26" t="s">
        <v>473</v>
      </c>
    </row>
    <row r="53" spans="1:26" ht="13.95" customHeight="1">
      <c r="A53" s="7"/>
      <c r="B53" s="1" t="s">
        <v>243</v>
      </c>
      <c r="C53" s="1" t="s">
        <v>244</v>
      </c>
      <c r="D53" s="1" t="s">
        <v>222</v>
      </c>
      <c r="E53" s="1"/>
      <c r="F53" s="1" t="s">
        <v>228</v>
      </c>
      <c r="G53" s="8">
        <v>1</v>
      </c>
      <c r="H53" s="8" t="s">
        <v>224</v>
      </c>
      <c r="I53" s="8">
        <v>35</v>
      </c>
      <c r="J53" s="8">
        <v>3.6</v>
      </c>
      <c r="K53" s="8">
        <v>0.52</v>
      </c>
      <c r="L53" s="8">
        <v>0.3</v>
      </c>
      <c r="M53" s="6">
        <f t="shared" si="2"/>
        <v>31.4</v>
      </c>
      <c r="N53" s="8">
        <v>36</v>
      </c>
      <c r="O53" s="6">
        <f t="shared" si="3"/>
        <v>11.303999999999998</v>
      </c>
      <c r="P53" s="8">
        <v>120</v>
      </c>
      <c r="Q53" s="17" t="s">
        <v>44</v>
      </c>
      <c r="R53" s="1" t="s">
        <v>225</v>
      </c>
      <c r="S53" s="2" t="b">
        <v>1</v>
      </c>
      <c r="T53" s="9"/>
      <c r="U53" s="9"/>
      <c r="V53" s="19"/>
      <c r="W53" s="20" t="s">
        <v>474</v>
      </c>
      <c r="X53" s="25">
        <v>1</v>
      </c>
      <c r="Y53" s="26" t="s">
        <v>422</v>
      </c>
      <c r="Z53" s="26" t="s">
        <v>475</v>
      </c>
    </row>
    <row r="54" spans="1:26" ht="13.95" customHeight="1">
      <c r="A54" s="7"/>
      <c r="B54" s="1" t="s">
        <v>245</v>
      </c>
      <c r="C54" s="1" t="s">
        <v>246</v>
      </c>
      <c r="D54" s="1" t="s">
        <v>222</v>
      </c>
      <c r="E54" s="1"/>
      <c r="F54" s="1" t="s">
        <v>228</v>
      </c>
      <c r="G54" s="8">
        <v>1</v>
      </c>
      <c r="H54" s="8" t="s">
        <v>224</v>
      </c>
      <c r="I54" s="8">
        <v>9</v>
      </c>
      <c r="J54" s="8">
        <v>1.6</v>
      </c>
      <c r="K54" s="8">
        <v>0.91</v>
      </c>
      <c r="L54" s="8">
        <v>0.3</v>
      </c>
      <c r="M54" s="6">
        <f t="shared" si="2"/>
        <v>7.4</v>
      </c>
      <c r="N54" s="8">
        <v>15</v>
      </c>
      <c r="O54" s="6">
        <f t="shared" si="3"/>
        <v>1.1100000000000001</v>
      </c>
      <c r="P54" s="8">
        <v>35</v>
      </c>
      <c r="Q54" s="17" t="s">
        <v>44</v>
      </c>
      <c r="R54" s="1" t="s">
        <v>225</v>
      </c>
      <c r="S54" s="2" t="b">
        <v>1</v>
      </c>
      <c r="T54" s="9"/>
      <c r="U54" s="9"/>
      <c r="V54" s="19"/>
      <c r="W54" s="20" t="s">
        <v>476</v>
      </c>
      <c r="X54" s="25">
        <v>3</v>
      </c>
      <c r="Y54" s="26" t="s">
        <v>422</v>
      </c>
      <c r="Z54" s="26" t="s">
        <v>477</v>
      </c>
    </row>
    <row r="55" spans="1:26" ht="13.95" customHeight="1">
      <c r="A55" s="7"/>
      <c r="B55" s="1" t="s">
        <v>247</v>
      </c>
      <c r="C55" s="1" t="s">
        <v>248</v>
      </c>
      <c r="D55" s="1" t="s">
        <v>222</v>
      </c>
      <c r="E55" s="1"/>
      <c r="F55" s="1" t="s">
        <v>228</v>
      </c>
      <c r="G55" s="8">
        <v>1</v>
      </c>
      <c r="H55" s="8" t="s">
        <v>224</v>
      </c>
      <c r="I55" s="8">
        <v>5.34</v>
      </c>
      <c r="J55" s="8">
        <v>3.1</v>
      </c>
      <c r="K55" s="8">
        <v>2.8</v>
      </c>
      <c r="L55" s="8">
        <v>0.31</v>
      </c>
      <c r="M55" s="6">
        <f t="shared" si="2"/>
        <v>2.2399999999999998</v>
      </c>
      <c r="N55" s="8">
        <v>10</v>
      </c>
      <c r="O55" s="6">
        <f t="shared" si="3"/>
        <v>0.22399999999999998</v>
      </c>
      <c r="P55" s="8">
        <v>28</v>
      </c>
      <c r="Q55" s="17" t="s">
        <v>44</v>
      </c>
      <c r="R55" s="1" t="s">
        <v>225</v>
      </c>
      <c r="S55" s="2" t="b">
        <v>1</v>
      </c>
      <c r="T55" s="9"/>
      <c r="U55" s="9"/>
      <c r="V55" s="19"/>
      <c r="W55" s="20" t="s">
        <v>478</v>
      </c>
      <c r="X55" s="25">
        <v>41</v>
      </c>
      <c r="Y55" s="26" t="s">
        <v>422</v>
      </c>
      <c r="Z55" s="26" t="s">
        <v>479</v>
      </c>
    </row>
    <row r="56" spans="1:26" ht="13.95" customHeight="1">
      <c r="A56" s="7"/>
      <c r="B56" s="1" t="s">
        <v>249</v>
      </c>
      <c r="C56" s="1" t="s">
        <v>250</v>
      </c>
      <c r="D56" s="1" t="s">
        <v>222</v>
      </c>
      <c r="E56" s="1"/>
      <c r="F56" s="1" t="s">
        <v>228</v>
      </c>
      <c r="G56" s="8">
        <v>1</v>
      </c>
      <c r="H56" s="8" t="s">
        <v>224</v>
      </c>
      <c r="I56" s="8">
        <v>1</v>
      </c>
      <c r="J56" s="8">
        <v>0</v>
      </c>
      <c r="K56" s="8">
        <v>19</v>
      </c>
      <c r="L56" s="8">
        <v>5</v>
      </c>
      <c r="M56" s="6">
        <f t="shared" si="2"/>
        <v>1</v>
      </c>
      <c r="N56" s="8">
        <v>0</v>
      </c>
      <c r="O56" s="6">
        <f t="shared" si="3"/>
        <v>0</v>
      </c>
      <c r="P56" s="8">
        <v>110</v>
      </c>
      <c r="Q56" s="17" t="s">
        <v>44</v>
      </c>
      <c r="R56" s="1" t="s">
        <v>225</v>
      </c>
      <c r="S56" s="2" t="b">
        <v>1</v>
      </c>
      <c r="T56" s="9"/>
      <c r="U56" s="9"/>
      <c r="V56" s="19"/>
      <c r="W56" s="20" t="s">
        <v>480</v>
      </c>
      <c r="X56" s="25">
        <v>350</v>
      </c>
      <c r="Y56" s="26" t="s">
        <v>371</v>
      </c>
      <c r="Z56" s="26" t="s">
        <v>481</v>
      </c>
    </row>
    <row r="57" spans="1:26" ht="13.95" customHeight="1">
      <c r="A57" s="7"/>
      <c r="B57" s="1" t="s">
        <v>251</v>
      </c>
      <c r="C57" s="1" t="s">
        <v>252</v>
      </c>
      <c r="D57" s="1" t="s">
        <v>222</v>
      </c>
      <c r="E57" s="1"/>
      <c r="F57" s="1" t="s">
        <v>188</v>
      </c>
      <c r="G57" s="8">
        <v>100</v>
      </c>
      <c r="H57" s="8" t="s">
        <v>43</v>
      </c>
      <c r="I57" s="8">
        <v>4</v>
      </c>
      <c r="J57" s="8">
        <v>0</v>
      </c>
      <c r="K57" s="8">
        <v>7.33</v>
      </c>
      <c r="L57" s="8">
        <v>2</v>
      </c>
      <c r="M57" s="6">
        <f t="shared" si="2"/>
        <v>4</v>
      </c>
      <c r="N57" s="8">
        <v>17</v>
      </c>
      <c r="O57" s="6">
        <f t="shared" si="3"/>
        <v>0.68</v>
      </c>
      <c r="P57" s="8">
        <v>60</v>
      </c>
      <c r="Q57" s="17" t="s">
        <v>44</v>
      </c>
      <c r="R57" s="1" t="s">
        <v>225</v>
      </c>
      <c r="S57" s="2" t="b">
        <v>1</v>
      </c>
      <c r="T57" s="9"/>
      <c r="U57" s="9"/>
      <c r="V57" s="19"/>
      <c r="W57" s="20" t="s">
        <v>482</v>
      </c>
      <c r="X57" s="25">
        <v>36</v>
      </c>
      <c r="Y57" s="26" t="s">
        <v>422</v>
      </c>
      <c r="Z57" s="26" t="s">
        <v>483</v>
      </c>
    </row>
    <row r="58" spans="1:26" ht="13.95" customHeight="1">
      <c r="A58" s="7"/>
      <c r="B58" s="1" t="s">
        <v>253</v>
      </c>
      <c r="C58" s="1" t="s">
        <v>254</v>
      </c>
      <c r="D58" s="1" t="s">
        <v>222</v>
      </c>
      <c r="E58" s="1"/>
      <c r="F58" s="1" t="s">
        <v>255</v>
      </c>
      <c r="G58" s="8">
        <v>200</v>
      </c>
      <c r="H58" s="8" t="s">
        <v>194</v>
      </c>
      <c r="I58" s="8">
        <v>9</v>
      </c>
      <c r="J58" s="8">
        <v>0</v>
      </c>
      <c r="K58" s="8">
        <v>6</v>
      </c>
      <c r="L58" s="8">
        <v>6</v>
      </c>
      <c r="M58" s="6">
        <f t="shared" si="2"/>
        <v>9</v>
      </c>
      <c r="N58" s="8">
        <v>27</v>
      </c>
      <c r="O58" s="6">
        <f t="shared" si="3"/>
        <v>2.4300000000000002</v>
      </c>
      <c r="P58" s="8">
        <v>120</v>
      </c>
      <c r="Q58" s="17" t="s">
        <v>44</v>
      </c>
      <c r="R58" s="1" t="s">
        <v>225</v>
      </c>
      <c r="S58" s="2" t="b">
        <v>1</v>
      </c>
      <c r="T58" s="9"/>
      <c r="U58" s="9"/>
      <c r="V58" s="19"/>
      <c r="W58" s="20" t="s">
        <v>484</v>
      </c>
      <c r="X58" s="25">
        <v>100</v>
      </c>
      <c r="Y58" s="26" t="s">
        <v>371</v>
      </c>
      <c r="Z58" s="26" t="s">
        <v>485</v>
      </c>
    </row>
    <row r="59" spans="1:26" ht="13.95" customHeight="1">
      <c r="A59" s="7"/>
      <c r="B59" s="1" t="s">
        <v>256</v>
      </c>
      <c r="C59" s="1" t="s">
        <v>257</v>
      </c>
      <c r="D59" s="1" t="s">
        <v>222</v>
      </c>
      <c r="E59" s="1"/>
      <c r="F59" s="1" t="s">
        <v>235</v>
      </c>
      <c r="G59" s="8">
        <v>50</v>
      </c>
      <c r="H59" s="8" t="s">
        <v>43</v>
      </c>
      <c r="I59" s="8">
        <v>5</v>
      </c>
      <c r="J59" s="8">
        <v>0</v>
      </c>
      <c r="K59" s="8">
        <v>6</v>
      </c>
      <c r="L59" s="8">
        <v>3</v>
      </c>
      <c r="M59" s="6">
        <f t="shared" si="2"/>
        <v>5</v>
      </c>
      <c r="N59" s="8">
        <v>18</v>
      </c>
      <c r="O59" s="6">
        <f t="shared" si="3"/>
        <v>0.9</v>
      </c>
      <c r="P59" s="8">
        <v>65</v>
      </c>
      <c r="Q59" s="17" t="s">
        <v>44</v>
      </c>
      <c r="R59" s="1" t="s">
        <v>225</v>
      </c>
      <c r="S59" s="2" t="b">
        <v>1</v>
      </c>
      <c r="T59" s="9"/>
      <c r="U59" s="9"/>
      <c r="V59" s="19"/>
      <c r="W59" s="20" t="s">
        <v>486</v>
      </c>
      <c r="X59" s="25">
        <v>3</v>
      </c>
      <c r="Y59" s="26" t="s">
        <v>422</v>
      </c>
      <c r="Z59" s="26" t="s">
        <v>487</v>
      </c>
    </row>
  </sheetData>
  <phoneticPr fontId="8" type="noConversion"/>
  <dataValidations count="3">
    <dataValidation type="list" sqref="H2:H59" xr:uid="{00000000-0002-0000-0100-000000000000}">
      <formula1>"G,ML,COUNT"</formula1>
    </dataValidation>
    <dataValidation type="list" sqref="Q2:R59" xr:uid="{00000000-0002-0000-0100-000001000000}">
      <formula1>"MEASURED,ESTIMATED,GROUP_ESTIMATED,UNKNOWN"</formula1>
    </dataValidation>
    <dataValidation type="list" sqref="S2:S59" xr:uid="{00000000-0002-0000-0100-000002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3.8"/>
  <cols>
    <col min="1" max="1" width="2.8984375" customWidth="1"/>
    <col min="2" max="2" width="26.09765625" customWidth="1"/>
    <col min="3" max="3" width="19.796875" customWidth="1"/>
    <col min="4" max="4" width="68.09765625" customWidth="1"/>
    <col min="5" max="5" width="22.19921875" customWidth="1"/>
    <col min="6" max="6" width="14.69921875" customWidth="1"/>
    <col min="7" max="7" width="11.09765625" customWidth="1"/>
    <col min="8" max="8" width="26.5" customWidth="1"/>
  </cols>
  <sheetData>
    <row r="1" spans="1:8" ht="19.2" customHeight="1">
      <c r="A1" s="3" t="s">
        <v>17</v>
      </c>
      <c r="B1" s="3" t="s">
        <v>258</v>
      </c>
      <c r="C1" s="3" t="s">
        <v>259</v>
      </c>
      <c r="D1" s="3" t="s">
        <v>260</v>
      </c>
      <c r="E1" s="3" t="s">
        <v>261</v>
      </c>
      <c r="F1" s="3" t="s">
        <v>262</v>
      </c>
      <c r="G1" s="3" t="s">
        <v>263</v>
      </c>
      <c r="H1" s="3" t="s">
        <v>264</v>
      </c>
    </row>
    <row r="2" spans="1:8" ht="13.95" customHeight="1">
      <c r="A2" s="7"/>
      <c r="B2" s="1" t="s">
        <v>265</v>
      </c>
      <c r="C2" s="7" t="s">
        <v>266</v>
      </c>
      <c r="D2" s="7" t="s">
        <v>267</v>
      </c>
      <c r="E2" s="7"/>
      <c r="F2" s="10"/>
      <c r="G2" s="11"/>
      <c r="H2" s="7" t="s">
        <v>268</v>
      </c>
    </row>
    <row r="3" spans="1:8" ht="13.95" customHeight="1">
      <c r="A3" s="7"/>
      <c r="B3" s="1" t="s">
        <v>269</v>
      </c>
      <c r="C3" s="7" t="s">
        <v>270</v>
      </c>
      <c r="D3" s="7" t="s">
        <v>271</v>
      </c>
      <c r="E3" s="7"/>
      <c r="F3" s="10"/>
      <c r="G3" s="11"/>
      <c r="H3" s="7" t="s">
        <v>272</v>
      </c>
    </row>
    <row r="4" spans="1:8" ht="13.95" customHeight="1">
      <c r="A4" s="7"/>
      <c r="B4" s="1" t="s">
        <v>273</v>
      </c>
      <c r="C4" s="7" t="s">
        <v>274</v>
      </c>
      <c r="D4" s="7" t="s">
        <v>275</v>
      </c>
      <c r="E4" s="7" t="s">
        <v>276</v>
      </c>
      <c r="F4" s="10"/>
      <c r="G4" s="11"/>
      <c r="H4" s="7"/>
    </row>
    <row r="5" spans="1:8" ht="13.95" customHeight="1">
      <c r="A5" s="7"/>
      <c r="B5" s="1" t="s">
        <v>277</v>
      </c>
      <c r="C5" s="7"/>
      <c r="D5" s="7" t="s">
        <v>278</v>
      </c>
      <c r="E5" s="7"/>
      <c r="F5" s="10"/>
      <c r="G5" s="11"/>
      <c r="H5" s="7"/>
    </row>
    <row r="6" spans="1:8" ht="13.95" customHeight="1">
      <c r="A6" s="7"/>
      <c r="B6" s="1" t="s">
        <v>279</v>
      </c>
      <c r="C6" s="7"/>
      <c r="D6" s="7" t="s">
        <v>280</v>
      </c>
      <c r="E6" s="7"/>
      <c r="F6" s="10"/>
      <c r="G6" s="11"/>
      <c r="H6" s="7"/>
    </row>
    <row r="7" spans="1:8" ht="13.95" customHeight="1">
      <c r="A7" s="7"/>
      <c r="B7" s="1" t="s">
        <v>281</v>
      </c>
      <c r="C7" s="7"/>
      <c r="D7" s="7" t="s">
        <v>282</v>
      </c>
      <c r="E7" s="7"/>
      <c r="F7" s="10"/>
      <c r="G7" s="11"/>
      <c r="H7" s="7"/>
    </row>
    <row r="8" spans="1:8" ht="13.95" customHeight="1">
      <c r="A8" s="7"/>
      <c r="B8" s="1" t="s">
        <v>283</v>
      </c>
      <c r="C8" s="7"/>
      <c r="D8" s="7" t="s">
        <v>284</v>
      </c>
      <c r="E8" s="7"/>
      <c r="F8" s="10">
        <v>2008</v>
      </c>
      <c r="G8" s="11"/>
      <c r="H8" s="7"/>
    </row>
    <row r="9" spans="1:8" ht="13.95" customHeight="1">
      <c r="A9" s="7"/>
      <c r="B9" s="1" t="s">
        <v>285</v>
      </c>
      <c r="C9" s="7"/>
      <c r="D9" s="7" t="s">
        <v>286</v>
      </c>
      <c r="E9" s="7"/>
      <c r="F9" s="10">
        <v>2002</v>
      </c>
      <c r="G9" s="11"/>
      <c r="H9" s="7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/>
  </sheetViews>
  <sheetFormatPr defaultRowHeight="13.8"/>
  <cols>
    <col min="1" max="1" width="14" customWidth="1"/>
    <col min="2" max="2" width="26.09765625" customWidth="1"/>
    <col min="3" max="3" width="10.8984375" customWidth="1"/>
    <col min="4" max="4" width="11" customWidth="1"/>
    <col min="5" max="5" width="5.796875" customWidth="1"/>
  </cols>
  <sheetData>
    <row r="1" spans="1:5" ht="19.2" customHeight="1">
      <c r="A1" s="3" t="s">
        <v>18</v>
      </c>
      <c r="B1" s="3" t="s">
        <v>258</v>
      </c>
      <c r="C1" s="3" t="s">
        <v>287</v>
      </c>
      <c r="D1" s="3" t="s">
        <v>288</v>
      </c>
      <c r="E1" s="3" t="s">
        <v>264</v>
      </c>
    </row>
    <row r="2" spans="1:5" ht="13.95" customHeight="1">
      <c r="A2" s="1" t="s">
        <v>38</v>
      </c>
      <c r="B2" s="1" t="s">
        <v>269</v>
      </c>
      <c r="C2" s="1" t="s">
        <v>289</v>
      </c>
      <c r="D2" s="1" t="s">
        <v>45</v>
      </c>
      <c r="E2" s="1"/>
    </row>
    <row r="3" spans="1:5" ht="13.95" customHeight="1">
      <c r="A3" s="1" t="s">
        <v>52</v>
      </c>
      <c r="B3" s="1" t="s">
        <v>277</v>
      </c>
      <c r="C3" s="1" t="s">
        <v>289</v>
      </c>
      <c r="D3" s="1" t="s">
        <v>45</v>
      </c>
      <c r="E3" s="1"/>
    </row>
    <row r="4" spans="1:5" ht="13.95" customHeight="1">
      <c r="A4" s="1" t="s">
        <v>56</v>
      </c>
      <c r="B4" s="1" t="s">
        <v>265</v>
      </c>
      <c r="C4" s="1" t="s">
        <v>290</v>
      </c>
      <c r="D4" s="1" t="s">
        <v>73</v>
      </c>
      <c r="E4" s="1"/>
    </row>
    <row r="5" spans="1:5" ht="13.95" customHeight="1">
      <c r="A5" s="1" t="s">
        <v>56</v>
      </c>
      <c r="B5" s="1" t="s">
        <v>265</v>
      </c>
      <c r="C5" s="1" t="s">
        <v>289</v>
      </c>
      <c r="D5" s="1" t="s">
        <v>45</v>
      </c>
      <c r="E5" s="1"/>
    </row>
    <row r="6" spans="1:5" ht="13.95" customHeight="1">
      <c r="A6" s="1" t="s">
        <v>61</v>
      </c>
      <c r="B6" s="1" t="s">
        <v>265</v>
      </c>
      <c r="C6" s="1" t="s">
        <v>289</v>
      </c>
      <c r="D6" s="1" t="s">
        <v>45</v>
      </c>
      <c r="E6" s="1"/>
    </row>
    <row r="7" spans="1:5" ht="13.95" customHeight="1">
      <c r="A7" s="1" t="s">
        <v>66</v>
      </c>
      <c r="B7" s="1" t="s">
        <v>273</v>
      </c>
      <c r="C7" s="1" t="s">
        <v>289</v>
      </c>
      <c r="D7" s="1" t="s">
        <v>45</v>
      </c>
      <c r="E7" s="1"/>
    </row>
    <row r="8" spans="1:5" ht="13.95" customHeight="1">
      <c r="A8" s="1" t="s">
        <v>70</v>
      </c>
      <c r="B8" s="1" t="s">
        <v>279</v>
      </c>
      <c r="C8" s="1" t="s">
        <v>289</v>
      </c>
      <c r="D8" s="1" t="s">
        <v>73</v>
      </c>
      <c r="E8" s="1"/>
    </row>
    <row r="9" spans="1:5" ht="13.95" customHeight="1">
      <c r="A9" s="1" t="s">
        <v>74</v>
      </c>
      <c r="B9" s="1" t="s">
        <v>279</v>
      </c>
      <c r="C9" s="1" t="s">
        <v>289</v>
      </c>
      <c r="D9" s="1" t="s">
        <v>73</v>
      </c>
      <c r="E9" s="1"/>
    </row>
    <row r="10" spans="1:5" ht="13.95" customHeight="1">
      <c r="A10" s="1" t="s">
        <v>78</v>
      </c>
      <c r="B10" s="1" t="s">
        <v>279</v>
      </c>
      <c r="C10" s="1" t="s">
        <v>289</v>
      </c>
      <c r="D10" s="1" t="s">
        <v>73</v>
      </c>
      <c r="E10" s="1"/>
    </row>
    <row r="11" spans="1:5" ht="13.95" customHeight="1">
      <c r="A11" s="1" t="s">
        <v>82</v>
      </c>
      <c r="B11" s="1" t="s">
        <v>279</v>
      </c>
      <c r="C11" s="1" t="s">
        <v>289</v>
      </c>
      <c r="D11" s="1" t="s">
        <v>73</v>
      </c>
      <c r="E11" s="1"/>
    </row>
    <row r="12" spans="1:5" ht="13.95" customHeight="1">
      <c r="A12" s="1" t="s">
        <v>105</v>
      </c>
      <c r="B12" s="1" t="s">
        <v>279</v>
      </c>
      <c r="C12" s="1" t="s">
        <v>289</v>
      </c>
      <c r="D12" s="1" t="s">
        <v>73</v>
      </c>
      <c r="E12" s="1"/>
    </row>
    <row r="13" spans="1:5" ht="13.95" customHeight="1">
      <c r="A13" s="1" t="s">
        <v>109</v>
      </c>
      <c r="B13" s="1" t="s">
        <v>279</v>
      </c>
      <c r="C13" s="1" t="s">
        <v>289</v>
      </c>
      <c r="D13" s="1" t="s">
        <v>73</v>
      </c>
      <c r="E13" s="1"/>
    </row>
    <row r="14" spans="1:5" ht="13.95" customHeight="1">
      <c r="A14" s="1" t="s">
        <v>125</v>
      </c>
      <c r="B14" s="1" t="s">
        <v>279</v>
      </c>
      <c r="C14" s="1" t="s">
        <v>289</v>
      </c>
      <c r="D14" s="1" t="s">
        <v>73</v>
      </c>
      <c r="E14" s="1"/>
    </row>
    <row r="15" spans="1:5" ht="13.95" customHeight="1">
      <c r="A15" s="1" t="s">
        <v>133</v>
      </c>
      <c r="B15" s="1" t="s">
        <v>279</v>
      </c>
      <c r="C15" s="1" t="s">
        <v>289</v>
      </c>
      <c r="D15" s="1" t="s">
        <v>73</v>
      </c>
      <c r="E15" s="1"/>
    </row>
    <row r="16" spans="1:5" ht="13.95" customHeight="1">
      <c r="A16" s="1" t="s">
        <v>137</v>
      </c>
      <c r="B16" s="1" t="s">
        <v>279</v>
      </c>
      <c r="C16" s="1" t="s">
        <v>289</v>
      </c>
      <c r="D16" s="1" t="s">
        <v>73</v>
      </c>
      <c r="E16" s="1"/>
    </row>
    <row r="17" spans="1:5" ht="13.95" customHeight="1">
      <c r="A17" s="1" t="s">
        <v>141</v>
      </c>
      <c r="B17" s="1" t="s">
        <v>279</v>
      </c>
      <c r="C17" s="1" t="s">
        <v>289</v>
      </c>
      <c r="D17" s="1" t="s">
        <v>73</v>
      </c>
      <c r="E17" s="1"/>
    </row>
    <row r="18" spans="1:5" ht="13.95" customHeight="1">
      <c r="A18" s="1" t="s">
        <v>145</v>
      </c>
      <c r="B18" s="1" t="s">
        <v>281</v>
      </c>
      <c r="C18" s="1" t="s">
        <v>289</v>
      </c>
      <c r="D18" s="1" t="s">
        <v>45</v>
      </c>
      <c r="E18" s="1"/>
    </row>
    <row r="19" spans="1:5" ht="13.95" customHeight="1">
      <c r="A19" s="1" t="s">
        <v>150</v>
      </c>
      <c r="B19" s="1" t="s">
        <v>269</v>
      </c>
      <c r="C19" s="1" t="s">
        <v>289</v>
      </c>
      <c r="D19" s="1" t="s">
        <v>45</v>
      </c>
      <c r="E19" s="1"/>
    </row>
    <row r="20" spans="1:5" ht="13.95" customHeight="1">
      <c r="A20" s="1" t="s">
        <v>164</v>
      </c>
      <c r="B20" s="1" t="s">
        <v>279</v>
      </c>
      <c r="C20" s="1" t="s">
        <v>289</v>
      </c>
      <c r="D20" s="1" t="s">
        <v>73</v>
      </c>
      <c r="E20" s="1"/>
    </row>
    <row r="21" spans="1:5" ht="13.95" customHeight="1">
      <c r="A21" s="1" t="s">
        <v>168</v>
      </c>
      <c r="B21" s="1" t="s">
        <v>279</v>
      </c>
      <c r="C21" s="1" t="s">
        <v>289</v>
      </c>
      <c r="D21" s="1" t="s">
        <v>73</v>
      </c>
      <c r="E21" s="1"/>
    </row>
    <row r="22" spans="1:5" ht="13.95" customHeight="1">
      <c r="A22" s="1" t="s">
        <v>172</v>
      </c>
      <c r="B22" s="1" t="s">
        <v>279</v>
      </c>
      <c r="C22" s="1" t="s">
        <v>289</v>
      </c>
      <c r="D22" s="1" t="s">
        <v>73</v>
      </c>
      <c r="E22" s="1"/>
    </row>
    <row r="23" spans="1:5" ht="13.95" customHeight="1">
      <c r="A23" s="1" t="s">
        <v>176</v>
      </c>
      <c r="B23" s="1" t="s">
        <v>279</v>
      </c>
      <c r="C23" s="1" t="s">
        <v>289</v>
      </c>
      <c r="D23" s="1" t="s">
        <v>73</v>
      </c>
      <c r="E23" s="1"/>
    </row>
    <row r="24" spans="1:5" ht="13.95" customHeight="1">
      <c r="A24" s="1" t="s">
        <v>179</v>
      </c>
      <c r="B24" s="1" t="s">
        <v>279</v>
      </c>
      <c r="C24" s="1" t="s">
        <v>289</v>
      </c>
      <c r="D24" s="1" t="s">
        <v>73</v>
      </c>
      <c r="E24" s="1"/>
    </row>
    <row r="25" spans="1:5" ht="13.95" customHeight="1">
      <c r="A25" s="1" t="s">
        <v>184</v>
      </c>
      <c r="B25" s="1" t="s">
        <v>283</v>
      </c>
      <c r="C25" s="1" t="s">
        <v>289</v>
      </c>
      <c r="D25" s="1" t="s">
        <v>45</v>
      </c>
      <c r="E25" s="1"/>
    </row>
    <row r="26" spans="1:5" ht="13.95" customHeight="1">
      <c r="A26" s="1" t="s">
        <v>189</v>
      </c>
      <c r="B26" s="1" t="s">
        <v>283</v>
      </c>
      <c r="C26" s="1" t="s">
        <v>289</v>
      </c>
      <c r="D26" s="1" t="s">
        <v>45</v>
      </c>
      <c r="E26" s="1"/>
    </row>
    <row r="27" spans="1:5" ht="13.95" customHeight="1">
      <c r="A27" s="1" t="s">
        <v>195</v>
      </c>
      <c r="B27" s="1" t="s">
        <v>285</v>
      </c>
      <c r="C27" s="1" t="s">
        <v>289</v>
      </c>
      <c r="D27" s="1" t="s">
        <v>45</v>
      </c>
      <c r="E27" s="1"/>
    </row>
    <row r="28" spans="1:5" ht="13.95" customHeight="1">
      <c r="A28" s="1" t="s">
        <v>199</v>
      </c>
      <c r="B28" s="1" t="s">
        <v>283</v>
      </c>
      <c r="C28" s="1" t="s">
        <v>289</v>
      </c>
      <c r="D28" s="1" t="s">
        <v>45</v>
      </c>
      <c r="E28" s="1"/>
    </row>
    <row r="29" spans="1:5" ht="13.95" customHeight="1">
      <c r="A29" s="1" t="s">
        <v>202</v>
      </c>
      <c r="B29" s="1" t="s">
        <v>283</v>
      </c>
      <c r="C29" s="1" t="s">
        <v>289</v>
      </c>
      <c r="D29" s="1" t="s">
        <v>45</v>
      </c>
      <c r="E29" s="1"/>
    </row>
    <row r="30" spans="1:5" ht="13.95" customHeight="1">
      <c r="A30" s="1" t="s">
        <v>205</v>
      </c>
      <c r="B30" s="1" t="s">
        <v>283</v>
      </c>
      <c r="C30" s="1" t="s">
        <v>289</v>
      </c>
      <c r="D30" s="1" t="s">
        <v>45</v>
      </c>
      <c r="E30" s="1"/>
    </row>
    <row r="31" spans="1:5" ht="13.95" customHeight="1">
      <c r="A31" s="1" t="s">
        <v>205</v>
      </c>
      <c r="B31" s="1" t="s">
        <v>285</v>
      </c>
      <c r="C31" s="1" t="s">
        <v>289</v>
      </c>
      <c r="D31" s="1" t="s">
        <v>45</v>
      </c>
      <c r="E31" s="1"/>
    </row>
    <row r="32" spans="1:5" ht="13.95" customHeight="1">
      <c r="A32" s="1" t="s">
        <v>208</v>
      </c>
      <c r="B32" s="1" t="s">
        <v>285</v>
      </c>
      <c r="C32" s="1" t="s">
        <v>289</v>
      </c>
      <c r="D32" s="1" t="s">
        <v>45</v>
      </c>
      <c r="E32" s="1"/>
    </row>
    <row r="33" spans="1:5" ht="13.95" customHeight="1">
      <c r="A33" s="1" t="s">
        <v>212</v>
      </c>
      <c r="B33" s="1" t="s">
        <v>283</v>
      </c>
      <c r="C33" s="1" t="s">
        <v>289</v>
      </c>
      <c r="D33" s="1" t="s">
        <v>45</v>
      </c>
      <c r="E33" s="1"/>
    </row>
    <row r="34" spans="1:5" ht="13.95" customHeight="1">
      <c r="A34" s="1" t="s">
        <v>212</v>
      </c>
      <c r="B34" s="1" t="s">
        <v>285</v>
      </c>
      <c r="C34" s="1" t="s">
        <v>289</v>
      </c>
      <c r="D34" s="1" t="s">
        <v>45</v>
      </c>
      <c r="E34" s="1"/>
    </row>
    <row r="35" spans="1:5" ht="13.95" customHeight="1">
      <c r="A35" s="1" t="s">
        <v>215</v>
      </c>
      <c r="B35" s="1" t="s">
        <v>283</v>
      </c>
      <c r="C35" s="1" t="s">
        <v>289</v>
      </c>
      <c r="D35" s="1" t="s">
        <v>45</v>
      </c>
      <c r="E35" s="1"/>
    </row>
  </sheetData>
  <phoneticPr fontId="8" type="noConversion"/>
  <dataValidations count="2">
    <dataValidation type="list" sqref="C2:C35" xr:uid="{00000000-0002-0000-0300-000000000000}">
      <formula1>"NUTRITION,GI"</formula1>
    </dataValidation>
    <dataValidation type="list" sqref="D2:D35" xr:uid="{00000000-0002-0000-0300-000001000000}">
      <formula1>"MEASURED,ESTIMATED,GROUP_ESTIMATED,UNKNOWN"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"/>
  <sheetViews>
    <sheetView workbookViewId="0"/>
  </sheetViews>
  <sheetFormatPr defaultRowHeight="13.8"/>
  <cols>
    <col min="1" max="1" width="2.8984375" customWidth="1"/>
    <col min="2" max="2" width="15.5" customWidth="1"/>
    <col min="3" max="3" width="15.796875" customWidth="1"/>
    <col min="4" max="4" width="17.296875" customWidth="1"/>
    <col min="5" max="5" width="14.09765625" customWidth="1"/>
    <col min="6" max="6" width="11" customWidth="1"/>
    <col min="7" max="7" width="6.5" customWidth="1"/>
    <col min="8" max="8" width="6.69921875" customWidth="1"/>
    <col min="9" max="9" width="8.69921875" customWidth="1"/>
    <col min="10" max="10" width="5.19921875" customWidth="1"/>
    <col min="11" max="11" width="14.59765625" customWidth="1"/>
    <col min="12" max="12" width="5.5" customWidth="1"/>
    <col min="13" max="13" width="4.59765625" customWidth="1"/>
    <col min="14" max="14" width="10.796875" customWidth="1"/>
    <col min="15" max="15" width="13" customWidth="1"/>
    <col min="16" max="16" width="13.8984375" customWidth="1"/>
    <col min="17" max="17" width="10.09765625" customWidth="1"/>
    <col min="18" max="18" width="12.8984375" customWidth="1"/>
    <col min="19" max="19" width="13.19921875" customWidth="1"/>
    <col min="20" max="20" width="35.59765625" customWidth="1"/>
    <col min="21" max="21" width="8.19921875" customWidth="1"/>
  </cols>
  <sheetData>
    <row r="1" spans="1:21" ht="19.2" customHeight="1">
      <c r="A1" s="3" t="s">
        <v>17</v>
      </c>
      <c r="B1" s="3" t="s">
        <v>18</v>
      </c>
      <c r="C1" s="3" t="s">
        <v>291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292</v>
      </c>
      <c r="P1" s="3" t="s">
        <v>293</v>
      </c>
      <c r="Q1" s="3" t="s">
        <v>294</v>
      </c>
      <c r="R1" s="3" t="s">
        <v>295</v>
      </c>
      <c r="S1" s="3" t="s">
        <v>296</v>
      </c>
      <c r="T1" s="3" t="s">
        <v>297</v>
      </c>
      <c r="U1" s="3" t="s">
        <v>35</v>
      </c>
    </row>
    <row r="2" spans="1:21" ht="13.95" customHeight="1">
      <c r="A2" s="7"/>
      <c r="B2" s="1" t="s">
        <v>220</v>
      </c>
      <c r="C2" s="1" t="s">
        <v>221</v>
      </c>
      <c r="D2" s="1" t="s">
        <v>223</v>
      </c>
      <c r="E2" s="6">
        <f>IFERROR(INDEX(foods!$G:$G,MATCH(B2,foods!$B:$B,0)),"")</f>
        <v>2</v>
      </c>
      <c r="F2" s="6" t="str">
        <f>IFERROR(INDEX(foods!$H:$H,MATCH(B2,foods!$B:$B,0)),"")</f>
        <v>COUNT</v>
      </c>
      <c r="G2" s="6">
        <f>IFERROR(INDEX(foods!$I:$I,MATCH(B2,foods!$B:$B,0)),"")</f>
        <v>1.1000000000000001</v>
      </c>
      <c r="H2" s="6">
        <f>IFERROR(INDEX(foods!$J:$J,MATCH(B2,foods!$B:$B,0)),"")</f>
        <v>0</v>
      </c>
      <c r="I2" s="6">
        <f>IFERROR(INDEX(foods!$K:$K,MATCH(B2,foods!$B:$B,0)),"")</f>
        <v>13</v>
      </c>
      <c r="J2" s="6">
        <f>IFERROR(INDEX(foods!$L:$L,MATCH(B2,foods!$B:$B,0)),"")</f>
        <v>10</v>
      </c>
      <c r="K2" s="6">
        <f t="shared" ref="K2:K16" si="0">IF(OR(G2="",H2=""),"",MAX(G2-H2,0))</f>
        <v>1.1000000000000001</v>
      </c>
      <c r="L2" s="6">
        <f>IFERROR(INDEX(foods!$N:$N,MATCH(B2,foods!$B:$B,0)),"")</f>
        <v>0</v>
      </c>
      <c r="M2" s="6">
        <f t="shared" ref="M2:M16" si="1">IF(OR(K2="",L2=""),"",K2*L2/100)</f>
        <v>0</v>
      </c>
      <c r="N2" s="6">
        <f>IFERROR(INDEX(foods!$P:$P,MATCH(B2,foods!$B:$B,0)),"")</f>
        <v>150</v>
      </c>
      <c r="O2" s="1" t="s">
        <v>298</v>
      </c>
      <c r="P2" s="7" t="s">
        <v>299</v>
      </c>
      <c r="Q2" s="10"/>
      <c r="R2" s="12"/>
      <c r="S2" s="12"/>
      <c r="T2" s="7" t="s">
        <v>300</v>
      </c>
      <c r="U2" s="2" t="b">
        <v>1</v>
      </c>
    </row>
    <row r="3" spans="1:21" ht="13.95" customHeight="1">
      <c r="A3" s="7"/>
      <c r="B3" s="1" t="s">
        <v>226</v>
      </c>
      <c r="C3" s="1" t="s">
        <v>227</v>
      </c>
      <c r="D3" s="1" t="s">
        <v>228</v>
      </c>
      <c r="E3" s="6">
        <f>IFERROR(INDEX(foods!$G:$G,MATCH(B3,foods!$B:$B,0)),"")</f>
        <v>1</v>
      </c>
      <c r="F3" s="6" t="str">
        <f>IFERROR(INDEX(foods!$H:$H,MATCH(B3,foods!$B:$B,0)),"")</f>
        <v>COUNT</v>
      </c>
      <c r="G3" s="6">
        <f>IFERROR(INDEX(foods!$I:$I,MATCH(B3,foods!$B:$B,0)),"")</f>
        <v>5.7</v>
      </c>
      <c r="H3" s="6">
        <f>IFERROR(INDEX(foods!$J:$J,MATCH(B3,foods!$B:$B,0)),"")</f>
        <v>0.3</v>
      </c>
      <c r="I3" s="6">
        <f>IFERROR(INDEX(foods!$K:$K,MATCH(B3,foods!$B:$B,0)),"")</f>
        <v>4.66</v>
      </c>
      <c r="J3" s="6">
        <f>IFERROR(INDEX(foods!$L:$L,MATCH(B3,foods!$B:$B,0)),"")</f>
        <v>7.5</v>
      </c>
      <c r="K3" s="6">
        <f t="shared" si="0"/>
        <v>5.4</v>
      </c>
      <c r="L3" s="6">
        <f>IFERROR(INDEX(foods!$N:$N,MATCH(B3,foods!$B:$B,0)),"")</f>
        <v>15</v>
      </c>
      <c r="M3" s="6">
        <f t="shared" si="1"/>
        <v>0.81</v>
      </c>
      <c r="N3" s="6">
        <f>IFERROR(INDEX(foods!$P:$P,MATCH(B3,foods!$B:$B,0)),"")</f>
        <v>135</v>
      </c>
      <c r="O3" s="1" t="s">
        <v>298</v>
      </c>
      <c r="P3" s="7" t="s">
        <v>299</v>
      </c>
      <c r="Q3" s="10"/>
      <c r="R3" s="12"/>
      <c r="S3" s="12"/>
      <c r="T3" s="7" t="s">
        <v>301</v>
      </c>
      <c r="U3" s="2" t="b">
        <v>1</v>
      </c>
    </row>
    <row r="4" spans="1:21" ht="13.95" customHeight="1">
      <c r="A4" s="7"/>
      <c r="B4" s="1" t="s">
        <v>229</v>
      </c>
      <c r="C4" s="1" t="s">
        <v>230</v>
      </c>
      <c r="D4" s="1" t="s">
        <v>228</v>
      </c>
      <c r="E4" s="6">
        <f>IFERROR(INDEX(foods!$G:$G,MATCH(B4,foods!$B:$B,0)),"")</f>
        <v>1</v>
      </c>
      <c r="F4" s="6" t="str">
        <f>IFERROR(INDEX(foods!$H:$H,MATCH(B4,foods!$B:$B,0)),"")</f>
        <v>COUNT</v>
      </c>
      <c r="G4" s="6">
        <f>IFERROR(INDEX(foods!$I:$I,MATCH(B4,foods!$B:$B,0)),"")</f>
        <v>0</v>
      </c>
      <c r="H4" s="6">
        <f>IFERROR(INDEX(foods!$J:$J,MATCH(B4,foods!$B:$B,0)),"")</f>
        <v>0</v>
      </c>
      <c r="I4" s="6">
        <f>IFERROR(INDEX(foods!$K:$K,MATCH(B4,foods!$B:$B,0)),"")</f>
        <v>24</v>
      </c>
      <c r="J4" s="6">
        <f>IFERROR(INDEX(foods!$L:$L,MATCH(B4,foods!$B:$B,0)),"")</f>
        <v>2</v>
      </c>
      <c r="K4" s="6">
        <f t="shared" si="0"/>
        <v>0</v>
      </c>
      <c r="L4" s="6">
        <f>IFERROR(INDEX(foods!$N:$N,MATCH(B4,foods!$B:$B,0)),"")</f>
        <v>0</v>
      </c>
      <c r="M4" s="6">
        <f t="shared" si="1"/>
        <v>0</v>
      </c>
      <c r="N4" s="6">
        <f>IFERROR(INDEX(foods!$P:$P,MATCH(B4,foods!$B:$B,0)),"")</f>
        <v>120</v>
      </c>
      <c r="O4" s="1" t="s">
        <v>298</v>
      </c>
      <c r="P4" s="7" t="s">
        <v>299</v>
      </c>
      <c r="Q4" s="10"/>
      <c r="R4" s="12"/>
      <c r="S4" s="12"/>
      <c r="T4" s="7" t="s">
        <v>302</v>
      </c>
      <c r="U4" s="2" t="b">
        <v>1</v>
      </c>
    </row>
    <row r="5" spans="1:21" ht="13.95" customHeight="1">
      <c r="A5" s="7"/>
      <c r="B5" s="1" t="s">
        <v>231</v>
      </c>
      <c r="C5" s="1" t="s">
        <v>232</v>
      </c>
      <c r="D5" s="1" t="s">
        <v>188</v>
      </c>
      <c r="E5" s="6">
        <f>IFERROR(INDEX(foods!$G:$G,MATCH(B5,foods!$B:$B,0)),"")</f>
        <v>100</v>
      </c>
      <c r="F5" s="6" t="str">
        <f>IFERROR(INDEX(foods!$H:$H,MATCH(B5,foods!$B:$B,0)),"")</f>
        <v>G</v>
      </c>
      <c r="G5" s="6">
        <f>IFERROR(INDEX(foods!$I:$I,MATCH(B5,foods!$B:$B,0)),"")</f>
        <v>5</v>
      </c>
      <c r="H5" s="6">
        <f>IFERROR(INDEX(foods!$J:$J,MATCH(B5,foods!$B:$B,0)),"")</f>
        <v>2.1</v>
      </c>
      <c r="I5" s="6">
        <f>IFERROR(INDEX(foods!$K:$K,MATCH(B5,foods!$B:$B,0)),"")</f>
        <v>1</v>
      </c>
      <c r="J5" s="6">
        <f>IFERROR(INDEX(foods!$L:$L,MATCH(B5,foods!$B:$B,0)),"")</f>
        <v>0.2</v>
      </c>
      <c r="K5" s="6">
        <f t="shared" si="0"/>
        <v>2.9</v>
      </c>
      <c r="L5" s="6">
        <f>IFERROR(INDEX(foods!$N:$N,MATCH(B5,foods!$B:$B,0)),"")</f>
        <v>15</v>
      </c>
      <c r="M5" s="6">
        <f t="shared" si="1"/>
        <v>0.435</v>
      </c>
      <c r="N5" s="6">
        <f>IFERROR(INDEX(foods!$P:$P,MATCH(B5,foods!$B:$B,0)),"")</f>
        <v>20</v>
      </c>
      <c r="O5" s="1" t="s">
        <v>303</v>
      </c>
      <c r="P5" s="7" t="s">
        <v>304</v>
      </c>
      <c r="Q5" s="10"/>
      <c r="R5" s="12"/>
      <c r="S5" s="12"/>
      <c r="T5" s="7" t="s">
        <v>305</v>
      </c>
      <c r="U5" s="2" t="b">
        <v>1</v>
      </c>
    </row>
    <row r="6" spans="1:21" ht="13.95" customHeight="1">
      <c r="A6" s="7"/>
      <c r="B6" s="1" t="s">
        <v>233</v>
      </c>
      <c r="C6" s="1" t="s">
        <v>234</v>
      </c>
      <c r="D6" s="1" t="s">
        <v>235</v>
      </c>
      <c r="E6" s="6">
        <f>IFERROR(INDEX(foods!$G:$G,MATCH(B6,foods!$B:$B,0)),"")</f>
        <v>50</v>
      </c>
      <c r="F6" s="6" t="str">
        <f>IFERROR(INDEX(foods!$H:$H,MATCH(B6,foods!$B:$B,0)),"")</f>
        <v>G</v>
      </c>
      <c r="G6" s="6">
        <f>IFERROR(INDEX(foods!$I:$I,MATCH(B6,foods!$B:$B,0)),"")</f>
        <v>2</v>
      </c>
      <c r="H6" s="6">
        <f>IFERROR(INDEX(foods!$J:$J,MATCH(B6,foods!$B:$B,0)),"")</f>
        <v>1.85</v>
      </c>
      <c r="I6" s="6">
        <f>IFERROR(INDEX(foods!$K:$K,MATCH(B6,foods!$B:$B,0)),"")</f>
        <v>1.25</v>
      </c>
      <c r="J6" s="6">
        <f>IFERROR(INDEX(foods!$L:$L,MATCH(B6,foods!$B:$B,0)),"")</f>
        <v>0.5</v>
      </c>
      <c r="K6" s="6">
        <f t="shared" si="0"/>
        <v>0.14999999999999991</v>
      </c>
      <c r="L6" s="6">
        <f>IFERROR(INDEX(foods!$N:$N,MATCH(B6,foods!$B:$B,0)),"")</f>
        <v>15</v>
      </c>
      <c r="M6" s="6">
        <f t="shared" si="1"/>
        <v>2.2499999999999985E-2</v>
      </c>
      <c r="N6" s="6">
        <f>IFERROR(INDEX(foods!$P:$P,MATCH(B6,foods!$B:$B,0)),"")</f>
        <v>15</v>
      </c>
      <c r="O6" s="1" t="s">
        <v>303</v>
      </c>
      <c r="P6" s="7" t="s">
        <v>304</v>
      </c>
      <c r="Q6" s="10"/>
      <c r="R6" s="12"/>
      <c r="S6" s="12"/>
      <c r="T6" s="7" t="s">
        <v>306</v>
      </c>
      <c r="U6" s="2" t="b">
        <v>1</v>
      </c>
    </row>
    <row r="7" spans="1:21" ht="13.95" customHeight="1">
      <c r="A7" s="7"/>
      <c r="B7" s="1" t="s">
        <v>236</v>
      </c>
      <c r="C7" s="1" t="s">
        <v>237</v>
      </c>
      <c r="D7" s="1" t="s">
        <v>171</v>
      </c>
      <c r="E7" s="6">
        <f>IFERROR(INDEX(foods!$G:$G,MATCH(B7,foods!$B:$B,0)),"")</f>
        <v>200</v>
      </c>
      <c r="F7" s="6" t="str">
        <f>IFERROR(INDEX(foods!$H:$H,MATCH(B7,foods!$B:$B,0)),"")</f>
        <v>G</v>
      </c>
      <c r="G7" s="6">
        <f>IFERROR(INDEX(foods!$I:$I,MATCH(B7,foods!$B:$B,0)),"")</f>
        <v>6</v>
      </c>
      <c r="H7" s="6">
        <f>IFERROR(INDEX(foods!$J:$J,MATCH(B7,foods!$B:$B,0)),"")</f>
        <v>1.6</v>
      </c>
      <c r="I7" s="6">
        <f>IFERROR(INDEX(foods!$K:$K,MATCH(B7,foods!$B:$B,0)),"")</f>
        <v>1.9</v>
      </c>
      <c r="J7" s="6">
        <f>IFERROR(INDEX(foods!$L:$L,MATCH(B7,foods!$B:$B,0)),"")</f>
        <v>0.2</v>
      </c>
      <c r="K7" s="6">
        <f t="shared" si="0"/>
        <v>4.4000000000000004</v>
      </c>
      <c r="L7" s="6">
        <f>IFERROR(INDEX(foods!$N:$N,MATCH(B7,foods!$B:$B,0)),"")</f>
        <v>15</v>
      </c>
      <c r="M7" s="6">
        <f t="shared" si="1"/>
        <v>0.66</v>
      </c>
      <c r="N7" s="6">
        <f>IFERROR(INDEX(foods!$P:$P,MATCH(B7,foods!$B:$B,0)),"")</f>
        <v>25</v>
      </c>
      <c r="O7" s="1" t="s">
        <v>303</v>
      </c>
      <c r="P7" s="7" t="s">
        <v>304</v>
      </c>
      <c r="Q7" s="10"/>
      <c r="R7" s="12"/>
      <c r="S7" s="12"/>
      <c r="T7" s="7" t="s">
        <v>307</v>
      </c>
      <c r="U7" s="2" t="b">
        <v>1</v>
      </c>
    </row>
    <row r="8" spans="1:21" ht="13.95" customHeight="1">
      <c r="A8" s="7"/>
      <c r="B8" s="1" t="s">
        <v>238</v>
      </c>
      <c r="C8" s="1" t="s">
        <v>239</v>
      </c>
      <c r="D8" s="1" t="s">
        <v>188</v>
      </c>
      <c r="E8" s="6">
        <f>IFERROR(INDEX(foods!$G:$G,MATCH(B8,foods!$B:$B,0)),"")</f>
        <v>100</v>
      </c>
      <c r="F8" s="6" t="str">
        <f>IFERROR(INDEX(foods!$H:$H,MATCH(B8,foods!$B:$B,0)),"")</f>
        <v>G</v>
      </c>
      <c r="G8" s="6">
        <f>IFERROR(INDEX(foods!$I:$I,MATCH(B8,foods!$B:$B,0)),"")</f>
        <v>6</v>
      </c>
      <c r="H8" s="6">
        <f>IFERROR(INDEX(foods!$J:$J,MATCH(B8,foods!$B:$B,0)),"")</f>
        <v>2.5</v>
      </c>
      <c r="I8" s="6">
        <f>IFERROR(INDEX(foods!$K:$K,MATCH(B8,foods!$B:$B,0)),"")</f>
        <v>1.36</v>
      </c>
      <c r="J8" s="6">
        <f>IFERROR(INDEX(foods!$L:$L,MATCH(B8,foods!$B:$B,0)),"")</f>
        <v>0.1</v>
      </c>
      <c r="K8" s="6">
        <f t="shared" si="0"/>
        <v>3.5</v>
      </c>
      <c r="L8" s="6">
        <f>IFERROR(INDEX(foods!$N:$N,MATCH(B8,foods!$B:$B,0)),"")</f>
        <v>10</v>
      </c>
      <c r="M8" s="6">
        <f t="shared" si="1"/>
        <v>0.35</v>
      </c>
      <c r="N8" s="6">
        <f>IFERROR(INDEX(foods!$P:$P,MATCH(B8,foods!$B:$B,0)),"")</f>
        <v>25</v>
      </c>
      <c r="O8" s="1" t="s">
        <v>303</v>
      </c>
      <c r="P8" s="7" t="s">
        <v>304</v>
      </c>
      <c r="Q8" s="10"/>
      <c r="R8" s="12"/>
      <c r="S8" s="12"/>
      <c r="T8" s="7"/>
      <c r="U8" s="2" t="b">
        <v>1</v>
      </c>
    </row>
    <row r="9" spans="1:21" ht="13.95" customHeight="1">
      <c r="A9" s="7"/>
      <c r="B9" s="1" t="s">
        <v>240</v>
      </c>
      <c r="C9" s="1" t="s">
        <v>241</v>
      </c>
      <c r="D9" s="1" t="s">
        <v>242</v>
      </c>
      <c r="E9" s="6">
        <f>IFERROR(INDEX(foods!$G:$G,MATCH(B9,foods!$B:$B,0)),"")</f>
        <v>30</v>
      </c>
      <c r="F9" s="6" t="str">
        <f>IFERROR(INDEX(foods!$H:$H,MATCH(B9,foods!$B:$B,0)),"")</f>
        <v>G</v>
      </c>
      <c r="G9" s="6">
        <f>IFERROR(INDEX(foods!$I:$I,MATCH(B9,foods!$B:$B,0)),"")</f>
        <v>6.5</v>
      </c>
      <c r="H9" s="6">
        <f>IFERROR(INDEX(foods!$J:$J,MATCH(B9,foods!$B:$B,0)),"")</f>
        <v>3.39</v>
      </c>
      <c r="I9" s="6">
        <f>IFERROR(INDEX(foods!$K:$K,MATCH(B9,foods!$B:$B,0)),"")</f>
        <v>7.04</v>
      </c>
      <c r="J9" s="6">
        <f>IFERROR(INDEX(foods!$L:$L,MATCH(B9,foods!$B:$B,0)),"")</f>
        <v>15</v>
      </c>
      <c r="K9" s="6">
        <f t="shared" si="0"/>
        <v>3.11</v>
      </c>
      <c r="L9" s="6">
        <f>IFERROR(INDEX(foods!$N:$N,MATCH(B9,foods!$B:$B,0)),"")</f>
        <v>15</v>
      </c>
      <c r="M9" s="6">
        <f t="shared" si="1"/>
        <v>0.46649999999999997</v>
      </c>
      <c r="N9" s="6">
        <f>IFERROR(INDEX(foods!$P:$P,MATCH(B9,foods!$B:$B,0)),"")</f>
        <v>175</v>
      </c>
      <c r="O9" s="1" t="s">
        <v>308</v>
      </c>
      <c r="P9" s="7" t="s">
        <v>304</v>
      </c>
      <c r="Q9" s="10"/>
      <c r="R9" s="12"/>
      <c r="S9" s="12"/>
      <c r="T9" s="7"/>
      <c r="U9" s="2" t="b">
        <v>1</v>
      </c>
    </row>
    <row r="10" spans="1:21" ht="13.95" customHeight="1">
      <c r="A10" s="7"/>
      <c r="B10" s="1" t="s">
        <v>243</v>
      </c>
      <c r="C10" s="1" t="s">
        <v>244</v>
      </c>
      <c r="D10" s="1" t="s">
        <v>228</v>
      </c>
      <c r="E10" s="6">
        <f>IFERROR(INDEX(foods!$G:$G,MATCH(B10,foods!$B:$B,0)),"")</f>
        <v>1</v>
      </c>
      <c r="F10" s="6" t="str">
        <f>IFERROR(INDEX(foods!$H:$H,MATCH(B10,foods!$B:$B,0)),"")</f>
        <v>COUNT</v>
      </c>
      <c r="G10" s="6">
        <f>IFERROR(INDEX(foods!$I:$I,MATCH(B10,foods!$B:$B,0)),"")</f>
        <v>35</v>
      </c>
      <c r="H10" s="6">
        <f>IFERROR(INDEX(foods!$J:$J,MATCH(B10,foods!$B:$B,0)),"")</f>
        <v>3.6</v>
      </c>
      <c r="I10" s="6">
        <f>IFERROR(INDEX(foods!$K:$K,MATCH(B10,foods!$B:$B,0)),"")</f>
        <v>0.52</v>
      </c>
      <c r="J10" s="6">
        <f>IFERROR(INDEX(foods!$L:$L,MATCH(B10,foods!$B:$B,0)),"")</f>
        <v>0.3</v>
      </c>
      <c r="K10" s="6">
        <f t="shared" si="0"/>
        <v>31.4</v>
      </c>
      <c r="L10" s="6">
        <f>IFERROR(INDEX(foods!$N:$N,MATCH(B10,foods!$B:$B,0)),"")</f>
        <v>36</v>
      </c>
      <c r="M10" s="6">
        <f t="shared" si="1"/>
        <v>11.303999999999998</v>
      </c>
      <c r="N10" s="6">
        <f>IFERROR(INDEX(foods!$P:$P,MATCH(B10,foods!$B:$B,0)),"")</f>
        <v>120</v>
      </c>
      <c r="O10" s="1" t="s">
        <v>303</v>
      </c>
      <c r="P10" s="7" t="s">
        <v>304</v>
      </c>
      <c r="Q10" s="10"/>
      <c r="R10" s="12"/>
      <c r="S10" s="12"/>
      <c r="T10" s="7"/>
      <c r="U10" s="2" t="b">
        <v>1</v>
      </c>
    </row>
    <row r="11" spans="1:21" ht="13.95" customHeight="1">
      <c r="A11" s="7"/>
      <c r="B11" s="1" t="s">
        <v>245</v>
      </c>
      <c r="C11" s="1" t="s">
        <v>246</v>
      </c>
      <c r="D11" s="1" t="s">
        <v>228</v>
      </c>
      <c r="E11" s="6">
        <f>IFERROR(INDEX(foods!$G:$G,MATCH(B11,foods!$B:$B,0)),"")</f>
        <v>1</v>
      </c>
      <c r="F11" s="6" t="str">
        <f>IFERROR(INDEX(foods!$H:$H,MATCH(B11,foods!$B:$B,0)),"")</f>
        <v>COUNT</v>
      </c>
      <c r="G11" s="6">
        <f>IFERROR(INDEX(foods!$I:$I,MATCH(B11,foods!$B:$B,0)),"")</f>
        <v>9</v>
      </c>
      <c r="H11" s="6">
        <f>IFERROR(INDEX(foods!$J:$J,MATCH(B11,foods!$B:$B,0)),"")</f>
        <v>1.6</v>
      </c>
      <c r="I11" s="6">
        <f>IFERROR(INDEX(foods!$K:$K,MATCH(B11,foods!$B:$B,0)),"")</f>
        <v>0.91</v>
      </c>
      <c r="J11" s="6">
        <f>IFERROR(INDEX(foods!$L:$L,MATCH(B11,foods!$B:$B,0)),"")</f>
        <v>0.3</v>
      </c>
      <c r="K11" s="6">
        <f t="shared" si="0"/>
        <v>7.4</v>
      </c>
      <c r="L11" s="6">
        <f>IFERROR(INDEX(foods!$N:$N,MATCH(B11,foods!$B:$B,0)),"")</f>
        <v>15</v>
      </c>
      <c r="M11" s="6">
        <f t="shared" si="1"/>
        <v>1.1100000000000001</v>
      </c>
      <c r="N11" s="6">
        <f>IFERROR(INDEX(foods!$P:$P,MATCH(B11,foods!$B:$B,0)),"")</f>
        <v>35</v>
      </c>
      <c r="O11" s="1" t="s">
        <v>303</v>
      </c>
      <c r="P11" s="7" t="s">
        <v>304</v>
      </c>
      <c r="Q11" s="10"/>
      <c r="R11" s="12"/>
      <c r="S11" s="12"/>
      <c r="T11" s="7"/>
      <c r="U11" s="2" t="b">
        <v>1</v>
      </c>
    </row>
    <row r="12" spans="1:21" ht="13.95" customHeight="1">
      <c r="A12" s="7"/>
      <c r="B12" s="1" t="s">
        <v>247</v>
      </c>
      <c r="C12" s="1" t="s">
        <v>248</v>
      </c>
      <c r="D12" s="1" t="s">
        <v>228</v>
      </c>
      <c r="E12" s="6">
        <f>IFERROR(INDEX(foods!$G:$G,MATCH(B12,foods!$B:$B,0)),"")</f>
        <v>1</v>
      </c>
      <c r="F12" s="6" t="str">
        <f>IFERROR(INDEX(foods!$H:$H,MATCH(B12,foods!$B:$B,0)),"")</f>
        <v>COUNT</v>
      </c>
      <c r="G12" s="6">
        <f>IFERROR(INDEX(foods!$I:$I,MATCH(B12,foods!$B:$B,0)),"")</f>
        <v>5.34</v>
      </c>
      <c r="H12" s="6">
        <f>IFERROR(INDEX(foods!$J:$J,MATCH(B12,foods!$B:$B,0)),"")</f>
        <v>3.1</v>
      </c>
      <c r="I12" s="6">
        <f>IFERROR(INDEX(foods!$K:$K,MATCH(B12,foods!$B:$B,0)),"")</f>
        <v>2.8</v>
      </c>
      <c r="J12" s="6">
        <f>IFERROR(INDEX(foods!$L:$L,MATCH(B12,foods!$B:$B,0)),"")</f>
        <v>0.31</v>
      </c>
      <c r="K12" s="6">
        <f t="shared" si="0"/>
        <v>2.2399999999999998</v>
      </c>
      <c r="L12" s="6">
        <f>IFERROR(INDEX(foods!$N:$N,MATCH(B12,foods!$B:$B,0)),"")</f>
        <v>10</v>
      </c>
      <c r="M12" s="6">
        <f t="shared" si="1"/>
        <v>0.22399999999999998</v>
      </c>
      <c r="N12" s="6">
        <f>IFERROR(INDEX(foods!$P:$P,MATCH(B12,foods!$B:$B,0)),"")</f>
        <v>28</v>
      </c>
      <c r="O12" s="1" t="s">
        <v>303</v>
      </c>
      <c r="P12" s="7" t="s">
        <v>304</v>
      </c>
      <c r="Q12" s="10"/>
      <c r="R12" s="12"/>
      <c r="S12" s="12"/>
      <c r="T12" s="7"/>
      <c r="U12" s="2" t="b">
        <v>1</v>
      </c>
    </row>
    <row r="13" spans="1:21" ht="13.95" customHeight="1">
      <c r="A13" s="7"/>
      <c r="B13" s="1" t="s">
        <v>249</v>
      </c>
      <c r="C13" s="1" t="s">
        <v>250</v>
      </c>
      <c r="D13" s="1" t="s">
        <v>228</v>
      </c>
      <c r="E13" s="6">
        <f>IFERROR(INDEX(foods!$G:$G,MATCH(B13,foods!$B:$B,0)),"")</f>
        <v>1</v>
      </c>
      <c r="F13" s="6" t="str">
        <f>IFERROR(INDEX(foods!$H:$H,MATCH(B13,foods!$B:$B,0)),"")</f>
        <v>COUNT</v>
      </c>
      <c r="G13" s="6">
        <f>IFERROR(INDEX(foods!$I:$I,MATCH(B13,foods!$B:$B,0)),"")</f>
        <v>1</v>
      </c>
      <c r="H13" s="6">
        <f>IFERROR(INDEX(foods!$J:$J,MATCH(B13,foods!$B:$B,0)),"")</f>
        <v>0</v>
      </c>
      <c r="I13" s="6">
        <f>IFERROR(INDEX(foods!$K:$K,MATCH(B13,foods!$B:$B,0)),"")</f>
        <v>19</v>
      </c>
      <c r="J13" s="6">
        <f>IFERROR(INDEX(foods!$L:$L,MATCH(B13,foods!$B:$B,0)),"")</f>
        <v>5</v>
      </c>
      <c r="K13" s="6">
        <f t="shared" si="0"/>
        <v>1</v>
      </c>
      <c r="L13" s="6">
        <f>IFERROR(INDEX(foods!$N:$N,MATCH(B13,foods!$B:$B,0)),"")</f>
        <v>0</v>
      </c>
      <c r="M13" s="6">
        <f t="shared" si="1"/>
        <v>0</v>
      </c>
      <c r="N13" s="6">
        <f>IFERROR(INDEX(foods!$P:$P,MATCH(B13,foods!$B:$B,0)),"")</f>
        <v>110</v>
      </c>
      <c r="O13" s="1" t="s">
        <v>298</v>
      </c>
      <c r="P13" s="7" t="s">
        <v>309</v>
      </c>
      <c r="Q13" s="10"/>
      <c r="R13" s="12"/>
      <c r="S13" s="12"/>
      <c r="T13" s="7"/>
      <c r="U13" s="2" t="b">
        <v>1</v>
      </c>
    </row>
    <row r="14" spans="1:21" ht="13.95" customHeight="1">
      <c r="A14" s="7"/>
      <c r="B14" s="1" t="s">
        <v>251</v>
      </c>
      <c r="C14" s="1" t="s">
        <v>252</v>
      </c>
      <c r="D14" s="1" t="s">
        <v>188</v>
      </c>
      <c r="E14" s="6">
        <f>IFERROR(INDEX(foods!$G:$G,MATCH(B14,foods!$B:$B,0)),"")</f>
        <v>100</v>
      </c>
      <c r="F14" s="6" t="str">
        <f>IFERROR(INDEX(foods!$H:$H,MATCH(B14,foods!$B:$B,0)),"")</f>
        <v>G</v>
      </c>
      <c r="G14" s="6">
        <f>IFERROR(INDEX(foods!$I:$I,MATCH(B14,foods!$B:$B,0)),"")</f>
        <v>4</v>
      </c>
      <c r="H14" s="6">
        <f>IFERROR(INDEX(foods!$J:$J,MATCH(B14,foods!$B:$B,0)),"")</f>
        <v>0</v>
      </c>
      <c r="I14" s="6">
        <f>IFERROR(INDEX(foods!$K:$K,MATCH(B14,foods!$B:$B,0)),"")</f>
        <v>7.33</v>
      </c>
      <c r="J14" s="6">
        <f>IFERROR(INDEX(foods!$L:$L,MATCH(B14,foods!$B:$B,0)),"")</f>
        <v>2</v>
      </c>
      <c r="K14" s="6">
        <f t="shared" si="0"/>
        <v>4</v>
      </c>
      <c r="L14" s="6">
        <f>IFERROR(INDEX(foods!$N:$N,MATCH(B14,foods!$B:$B,0)),"")</f>
        <v>17</v>
      </c>
      <c r="M14" s="6">
        <f t="shared" si="1"/>
        <v>0.68</v>
      </c>
      <c r="N14" s="6">
        <f>IFERROR(INDEX(foods!$P:$P,MATCH(B14,foods!$B:$B,0)),"")</f>
        <v>60</v>
      </c>
      <c r="O14" s="1" t="s">
        <v>298</v>
      </c>
      <c r="P14" s="7" t="s">
        <v>304</v>
      </c>
      <c r="Q14" s="10"/>
      <c r="R14" s="12"/>
      <c r="S14" s="12"/>
      <c r="T14" s="7"/>
      <c r="U14" s="2" t="b">
        <v>1</v>
      </c>
    </row>
    <row r="15" spans="1:21" ht="13.95" customHeight="1">
      <c r="A15" s="7"/>
      <c r="B15" s="1" t="s">
        <v>253</v>
      </c>
      <c r="C15" s="1" t="s">
        <v>254</v>
      </c>
      <c r="D15" s="1" t="s">
        <v>255</v>
      </c>
      <c r="E15" s="6">
        <f>IFERROR(INDEX(foods!$G:$G,MATCH(B15,foods!$B:$B,0)),"")</f>
        <v>200</v>
      </c>
      <c r="F15" s="6" t="str">
        <f>IFERROR(INDEX(foods!$H:$H,MATCH(B15,foods!$B:$B,0)),"")</f>
        <v>ML</v>
      </c>
      <c r="G15" s="6">
        <f>IFERROR(INDEX(foods!$I:$I,MATCH(B15,foods!$B:$B,0)),"")</f>
        <v>9</v>
      </c>
      <c r="H15" s="6">
        <f>IFERROR(INDEX(foods!$J:$J,MATCH(B15,foods!$B:$B,0)),"")</f>
        <v>0</v>
      </c>
      <c r="I15" s="6">
        <f>IFERROR(INDEX(foods!$K:$K,MATCH(B15,foods!$B:$B,0)),"")</f>
        <v>6</v>
      </c>
      <c r="J15" s="6">
        <f>IFERROR(INDEX(foods!$L:$L,MATCH(B15,foods!$B:$B,0)),"")</f>
        <v>6</v>
      </c>
      <c r="K15" s="6">
        <f t="shared" si="0"/>
        <v>9</v>
      </c>
      <c r="L15" s="6">
        <f>IFERROR(INDEX(foods!$N:$N,MATCH(B15,foods!$B:$B,0)),"")</f>
        <v>27</v>
      </c>
      <c r="M15" s="6">
        <f t="shared" si="1"/>
        <v>2.4300000000000002</v>
      </c>
      <c r="N15" s="6">
        <f>IFERROR(INDEX(foods!$P:$P,MATCH(B15,foods!$B:$B,0)),"")</f>
        <v>120</v>
      </c>
      <c r="O15" s="1" t="s">
        <v>298</v>
      </c>
      <c r="P15" s="7" t="s">
        <v>309</v>
      </c>
      <c r="Q15" s="10"/>
      <c r="R15" s="12"/>
      <c r="S15" s="12"/>
      <c r="T15" s="7"/>
      <c r="U15" s="2" t="b">
        <v>1</v>
      </c>
    </row>
    <row r="16" spans="1:21" ht="13.95" customHeight="1">
      <c r="A16" s="7"/>
      <c r="B16" s="1" t="s">
        <v>256</v>
      </c>
      <c r="C16" s="1" t="s">
        <v>257</v>
      </c>
      <c r="D16" s="1" t="s">
        <v>235</v>
      </c>
      <c r="E16" s="6">
        <f>IFERROR(INDEX(foods!$G:$G,MATCH(B16,foods!$B:$B,0)),"")</f>
        <v>50</v>
      </c>
      <c r="F16" s="6" t="str">
        <f>IFERROR(INDEX(foods!$H:$H,MATCH(B16,foods!$B:$B,0)),"")</f>
        <v>G</v>
      </c>
      <c r="G16" s="6">
        <f>IFERROR(INDEX(foods!$I:$I,MATCH(B16,foods!$B:$B,0)),"")</f>
        <v>5</v>
      </c>
      <c r="H16" s="6">
        <f>IFERROR(INDEX(foods!$J:$J,MATCH(B16,foods!$B:$B,0)),"")</f>
        <v>0</v>
      </c>
      <c r="I16" s="6">
        <f>IFERROR(INDEX(foods!$K:$K,MATCH(B16,foods!$B:$B,0)),"")</f>
        <v>6</v>
      </c>
      <c r="J16" s="6">
        <f>IFERROR(INDEX(foods!$L:$L,MATCH(B16,foods!$B:$B,0)),"")</f>
        <v>3</v>
      </c>
      <c r="K16" s="6">
        <f t="shared" si="0"/>
        <v>5</v>
      </c>
      <c r="L16" s="6">
        <f>IFERROR(INDEX(foods!$N:$N,MATCH(B16,foods!$B:$B,0)),"")</f>
        <v>18</v>
      </c>
      <c r="M16" s="6">
        <f t="shared" si="1"/>
        <v>0.9</v>
      </c>
      <c r="N16" s="6">
        <f>IFERROR(INDEX(foods!$P:$P,MATCH(B16,foods!$B:$B,0)),"")</f>
        <v>65</v>
      </c>
      <c r="O16" s="1" t="s">
        <v>298</v>
      </c>
      <c r="P16" s="7" t="s">
        <v>304</v>
      </c>
      <c r="Q16" s="10"/>
      <c r="R16" s="12"/>
      <c r="S16" s="12"/>
      <c r="T16" s="7"/>
      <c r="U16" s="2" t="b">
        <v>1</v>
      </c>
    </row>
  </sheetData>
  <phoneticPr fontId="8" type="noConversion"/>
  <dataValidations count="3">
    <dataValidation type="list" sqref="O2:O16" xr:uid="{00000000-0002-0000-0400-000000000000}">
      <formula1>"PROTEIN,FIBER,BOTH"</formula1>
    </dataValidation>
    <dataValidation sqref="Q2:Q16" xr:uid="{00000000-0002-0000-0400-000001000000}">
      <formula1>1</formula1>
      <formula2>5</formula2>
    </dataValidation>
    <dataValidation type="list" sqref="U2:U16" xr:uid="{00000000-0002-0000-0400-000002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3.8"/>
  <cols>
    <col min="1" max="1" width="16.09765625" customWidth="1"/>
    <col min="2" max="2" width="31.09765625" customWidth="1"/>
    <col min="3" max="3" width="7.3984375" customWidth="1"/>
    <col min="4" max="4" width="7.69921875" customWidth="1"/>
    <col min="5" max="5" width="40.69921875" customWidth="1"/>
    <col min="6" max="6" width="46.796875" customWidth="1"/>
  </cols>
  <sheetData>
    <row r="1" spans="1:6" ht="19.2" customHeight="1">
      <c r="A1" s="3" t="s">
        <v>310</v>
      </c>
      <c r="B1" s="3" t="s">
        <v>311</v>
      </c>
      <c r="C1" s="3" t="s">
        <v>312</v>
      </c>
      <c r="D1" s="3" t="s">
        <v>313</v>
      </c>
      <c r="E1" s="3" t="s">
        <v>314</v>
      </c>
      <c r="F1" s="3" t="s">
        <v>315</v>
      </c>
    </row>
    <row r="2" spans="1:6" ht="13.95" customHeight="1">
      <c r="A2" s="1" t="s">
        <v>316</v>
      </c>
      <c r="B2" s="1" t="s">
        <v>17</v>
      </c>
      <c r="C2" s="1" t="s">
        <v>317</v>
      </c>
      <c r="D2" s="1" t="s">
        <v>318</v>
      </c>
      <c r="E2" s="1" t="s">
        <v>319</v>
      </c>
      <c r="F2" s="1" t="s">
        <v>320</v>
      </c>
    </row>
    <row r="3" spans="1:6" ht="13.95" customHeight="1">
      <c r="A3" s="1" t="s">
        <v>316</v>
      </c>
      <c r="B3" s="1" t="s">
        <v>18</v>
      </c>
      <c r="C3" s="1" t="s">
        <v>321</v>
      </c>
      <c r="D3" s="1" t="s">
        <v>322</v>
      </c>
      <c r="E3" s="1" t="s">
        <v>323</v>
      </c>
      <c r="F3" s="1" t="s">
        <v>324</v>
      </c>
    </row>
    <row r="4" spans="1:6" ht="13.95" customHeight="1">
      <c r="A4" s="1" t="s">
        <v>316</v>
      </c>
      <c r="B4" s="1" t="s">
        <v>23</v>
      </c>
      <c r="C4" s="1" t="s">
        <v>325</v>
      </c>
      <c r="D4" s="1" t="s">
        <v>318</v>
      </c>
      <c r="E4" s="1" t="s">
        <v>326</v>
      </c>
      <c r="F4" s="1" t="s">
        <v>327</v>
      </c>
    </row>
    <row r="5" spans="1:6" ht="13.95" customHeight="1">
      <c r="A5" s="1" t="s">
        <v>316</v>
      </c>
      <c r="B5" s="1" t="s">
        <v>24</v>
      </c>
      <c r="C5" s="1" t="s">
        <v>328</v>
      </c>
      <c r="D5" s="1" t="s">
        <v>318</v>
      </c>
      <c r="E5" s="1" t="s">
        <v>329</v>
      </c>
      <c r="F5" s="1" t="s">
        <v>330</v>
      </c>
    </row>
    <row r="6" spans="1:6" ht="13.95" customHeight="1">
      <c r="A6" s="1" t="s">
        <v>316</v>
      </c>
      <c r="B6" s="1" t="s">
        <v>331</v>
      </c>
      <c r="C6" s="1" t="s">
        <v>325</v>
      </c>
      <c r="D6" s="1" t="s">
        <v>318</v>
      </c>
      <c r="E6" s="1" t="s">
        <v>332</v>
      </c>
      <c r="F6" s="1" t="s">
        <v>333</v>
      </c>
    </row>
    <row r="7" spans="1:6" ht="13.95" customHeight="1">
      <c r="A7" s="1" t="s">
        <v>316</v>
      </c>
      <c r="B7" s="1" t="s">
        <v>29</v>
      </c>
      <c r="C7" s="1" t="s">
        <v>334</v>
      </c>
      <c r="D7" s="1" t="s">
        <v>318</v>
      </c>
      <c r="E7" s="1" t="s">
        <v>335</v>
      </c>
      <c r="F7" s="1" t="s">
        <v>336</v>
      </c>
    </row>
    <row r="8" spans="1:6" ht="13.95" customHeight="1">
      <c r="A8" s="1" t="s">
        <v>316</v>
      </c>
      <c r="B8" s="1" t="s">
        <v>30</v>
      </c>
      <c r="C8" s="1" t="s">
        <v>325</v>
      </c>
      <c r="D8" s="1" t="s">
        <v>318</v>
      </c>
      <c r="E8" s="1" t="s">
        <v>337</v>
      </c>
      <c r="F8" s="1" t="s">
        <v>338</v>
      </c>
    </row>
    <row r="9" spans="1:6" ht="13.95" customHeight="1">
      <c r="A9" s="1" t="s">
        <v>316</v>
      </c>
      <c r="B9" s="1" t="s">
        <v>31</v>
      </c>
      <c r="C9" s="1" t="s">
        <v>334</v>
      </c>
      <c r="D9" s="1" t="s">
        <v>318</v>
      </c>
      <c r="E9" s="1" t="s">
        <v>339</v>
      </c>
      <c r="F9" s="1" t="s">
        <v>336</v>
      </c>
    </row>
    <row r="10" spans="1:6" ht="13.95" customHeight="1">
      <c r="A10" s="1" t="s">
        <v>316</v>
      </c>
      <c r="B10" s="1" t="s">
        <v>340</v>
      </c>
      <c r="C10" s="1" t="s">
        <v>328</v>
      </c>
      <c r="D10" s="1" t="s">
        <v>322</v>
      </c>
      <c r="E10" s="1" t="s">
        <v>341</v>
      </c>
      <c r="F10" s="1" t="s">
        <v>342</v>
      </c>
    </row>
    <row r="11" spans="1:6" ht="13.95" customHeight="1">
      <c r="A11" s="1" t="s">
        <v>343</v>
      </c>
      <c r="B11" s="1" t="s">
        <v>258</v>
      </c>
      <c r="C11" s="1" t="s">
        <v>321</v>
      </c>
      <c r="D11" s="1" t="s">
        <v>322</v>
      </c>
      <c r="E11" s="1" t="s">
        <v>344</v>
      </c>
      <c r="F11" s="1" t="s">
        <v>345</v>
      </c>
    </row>
    <row r="12" spans="1:6" ht="13.95" customHeight="1">
      <c r="A12" s="1" t="s">
        <v>346</v>
      </c>
      <c r="B12" s="1" t="s">
        <v>287</v>
      </c>
      <c r="C12" s="1" t="s">
        <v>328</v>
      </c>
      <c r="D12" s="1" t="s">
        <v>322</v>
      </c>
      <c r="E12" s="1" t="s">
        <v>347</v>
      </c>
      <c r="F12" s="1" t="s">
        <v>348</v>
      </c>
    </row>
    <row r="13" spans="1:6" ht="13.95" customHeight="1">
      <c r="A13" s="1" t="s">
        <v>349</v>
      </c>
      <c r="B13" s="1" t="s">
        <v>292</v>
      </c>
      <c r="C13" s="1" t="s">
        <v>328</v>
      </c>
      <c r="D13" s="1" t="s">
        <v>322</v>
      </c>
      <c r="E13" s="1" t="s">
        <v>350</v>
      </c>
      <c r="F13" s="1" t="s">
        <v>351</v>
      </c>
    </row>
    <row r="14" spans="1:6" ht="13.95" customHeight="1">
      <c r="A14" s="1" t="s">
        <v>349</v>
      </c>
      <c r="B14" s="1" t="s">
        <v>352</v>
      </c>
      <c r="C14" s="1" t="s">
        <v>334</v>
      </c>
      <c r="D14" s="1" t="s">
        <v>318</v>
      </c>
      <c r="E14" s="1" t="s">
        <v>353</v>
      </c>
      <c r="F14" s="1" t="s">
        <v>354</v>
      </c>
    </row>
    <row r="15" spans="1:6" ht="13.95" customHeight="1">
      <c r="A15" s="1" t="s">
        <v>349</v>
      </c>
      <c r="B15" s="1" t="s">
        <v>294</v>
      </c>
      <c r="C15" s="1" t="s">
        <v>355</v>
      </c>
      <c r="D15" s="1" t="s">
        <v>318</v>
      </c>
      <c r="E15" s="1" t="s">
        <v>356</v>
      </c>
      <c r="F15" s="1" t="s">
        <v>357</v>
      </c>
    </row>
    <row r="16" spans="1:6" ht="13.95" customHeight="1">
      <c r="A16" s="1" t="s">
        <v>349</v>
      </c>
      <c r="B16" s="1" t="s">
        <v>358</v>
      </c>
      <c r="C16" s="1" t="s">
        <v>355</v>
      </c>
      <c r="D16" s="1" t="s">
        <v>318</v>
      </c>
      <c r="E16" s="1" t="s">
        <v>359</v>
      </c>
      <c r="F16" s="1" t="s">
        <v>333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foods</vt:lpstr>
      <vt:lpstr>sources</vt:lpstr>
      <vt:lpstr>food_sources</vt:lpstr>
      <vt:lpstr>side_menu_catalog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win10-g9</dc:creator>
  <cp:lastModifiedBy>우진 권</cp:lastModifiedBy>
  <dcterms:created xsi:type="dcterms:W3CDTF">2026-08-17T07:13:25Z</dcterms:created>
  <dcterms:modified xsi:type="dcterms:W3CDTF">2026-08-17T07:52:52Z</dcterms:modified>
</cp:coreProperties>
</file>